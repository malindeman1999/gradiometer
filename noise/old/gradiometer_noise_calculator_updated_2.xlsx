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deman\OneDrive - JPL\Documents\Python\gradiometer\noise\"/>
    </mc:Choice>
  </mc:AlternateContent>
  <xr:revisionPtr revIDLastSave="0" documentId="13_ncr:1_{3BEFA51E-28E4-4D8C-B993-4E46375CC2BD}" xr6:coauthVersionLast="47" xr6:coauthVersionMax="47" xr10:uidLastSave="{00000000-0000-0000-0000-000000000000}"/>
  <bookViews>
    <workbookView xWindow="28680" yWindow="-5655" windowWidth="51840" windowHeight="21120" xr2:uid="{00000000-000D-0000-FFFF-FFFF00000000}"/>
  </bookViews>
  <sheets>
    <sheet name="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1" l="1"/>
  <c r="E12" i="1"/>
  <c r="E13" i="1" s="1"/>
  <c r="E14" i="1" s="1"/>
  <c r="E9" i="1"/>
  <c r="E8" i="1"/>
  <c r="E26" i="1" s="1"/>
  <c r="F37" i="1"/>
  <c r="F38" i="1" s="1"/>
  <c r="F12" i="1"/>
  <c r="F13" i="1" s="1"/>
  <c r="F14" i="1" s="1"/>
  <c r="F9" i="1"/>
  <c r="F8" i="1"/>
  <c r="C38" i="1"/>
  <c r="C32" i="1"/>
  <c r="C12" i="1"/>
  <c r="C13" i="1" s="1"/>
  <c r="C14" i="1" s="1"/>
  <c r="C9" i="1"/>
  <c r="C8" i="1"/>
  <c r="G38" i="1"/>
  <c r="G32" i="1"/>
  <c r="G12" i="1"/>
  <c r="G13" i="1" s="1"/>
  <c r="G14" i="1" s="1"/>
  <c r="G9" i="1"/>
  <c r="G8" i="1"/>
  <c r="L39" i="1"/>
  <c r="K38" i="1"/>
  <c r="K39" i="1" s="1"/>
  <c r="K34" i="1"/>
  <c r="L33" i="1"/>
  <c r="L34" i="1" s="1"/>
  <c r="H38" i="1"/>
  <c r="B37" i="1"/>
  <c r="B38" i="1" s="1"/>
  <c r="H32" i="1"/>
  <c r="H12" i="1"/>
  <c r="H13" i="1" s="1"/>
  <c r="H14" i="1" s="1"/>
  <c r="B12" i="1"/>
  <c r="B13" i="1" s="1"/>
  <c r="B14" i="1" s="1"/>
  <c r="H9" i="1"/>
  <c r="B9" i="1"/>
  <c r="H8" i="1"/>
  <c r="B8" i="1"/>
  <c r="E33" i="1" l="1"/>
  <c r="E40" i="1" s="1"/>
  <c r="E41" i="1" s="1"/>
  <c r="H42" i="1"/>
  <c r="B42" i="1"/>
  <c r="E15" i="1"/>
  <c r="E42" i="1" s="1"/>
  <c r="E23" i="1"/>
  <c r="F23" i="1"/>
  <c r="F26" i="1"/>
  <c r="G26" i="1"/>
  <c r="E20" i="1"/>
  <c r="F33" i="1"/>
  <c r="F40" i="1" s="1"/>
  <c r="F41" i="1" s="1"/>
  <c r="F15" i="1"/>
  <c r="F42" i="1" s="1"/>
  <c r="C26" i="1"/>
  <c r="E38" i="1"/>
  <c r="F20" i="1"/>
  <c r="C23" i="1"/>
  <c r="C33" i="1"/>
  <c r="C40" i="1" s="1"/>
  <c r="C41" i="1" s="1"/>
  <c r="C15" i="1"/>
  <c r="C16" i="1" s="1"/>
  <c r="C20" i="1"/>
  <c r="G15" i="1"/>
  <c r="G16" i="1" s="1"/>
  <c r="G33" i="1"/>
  <c r="G40" i="1" s="1"/>
  <c r="G41" i="1" s="1"/>
  <c r="G20" i="1"/>
  <c r="G23" i="1"/>
  <c r="B26" i="1"/>
  <c r="B33" i="1"/>
  <c r="B40" i="1" s="1"/>
  <c r="B41" i="1" s="1"/>
  <c r="H26" i="1"/>
  <c r="B15" i="1"/>
  <c r="B16" i="1" s="1"/>
  <c r="K16" i="1" s="1"/>
  <c r="B23" i="1"/>
  <c r="H15" i="1"/>
  <c r="H16" i="1" s="1"/>
  <c r="H20" i="1"/>
  <c r="B20" i="1"/>
  <c r="H23" i="1"/>
  <c r="H33" i="1"/>
  <c r="H40" i="1" s="1"/>
  <c r="H41" i="1" s="1"/>
  <c r="E16" i="1" l="1"/>
  <c r="F16" i="1"/>
  <c r="C42" i="1"/>
  <c r="G42" i="1"/>
  <c r="E29" i="1"/>
  <c r="E28" i="1"/>
  <c r="E25" i="1"/>
  <c r="E22" i="1"/>
  <c r="F29" i="1"/>
  <c r="F28" i="1" s="1"/>
  <c r="F25" i="1"/>
  <c r="F22" i="1"/>
  <c r="C29" i="1"/>
  <c r="C28" i="1" s="1"/>
  <c r="C25" i="1"/>
  <c r="C22" i="1"/>
  <c r="G29" i="1"/>
  <c r="G28" i="1" s="1"/>
  <c r="G25" i="1"/>
  <c r="G22" i="1"/>
  <c r="B25" i="1"/>
  <c r="K25" i="1" s="1"/>
  <c r="N25" i="1" s="1"/>
  <c r="B29" i="1"/>
  <c r="B28" i="1" s="1"/>
  <c r="K28" i="1" s="1"/>
  <c r="N28" i="1" s="1"/>
  <c r="B22" i="1"/>
  <c r="K22" i="1" s="1"/>
  <c r="N22" i="1" s="1"/>
  <c r="H25" i="1"/>
  <c r="H29" i="1"/>
  <c r="H28" i="1" s="1"/>
  <c r="H22" i="1"/>
</calcChain>
</file>

<file path=xl/sharedStrings.xml><?xml version="1.0" encoding="utf-8"?>
<sst xmlns="http://schemas.openxmlformats.org/spreadsheetml/2006/main" count="77" uniqueCount="54">
  <si>
    <t>Gradiometer Noise Calculator</t>
  </si>
  <si>
    <t>Inputs</t>
  </si>
  <si>
    <t>10 m gradiometer, SQUID</t>
  </si>
  <si>
    <t>Coefficient lookup (from central-difference stencils)</t>
  </si>
  <si>
    <t>Gradiometer length L [m]</t>
  </si>
  <si>
    <t>N</t>
  </si>
  <si>
    <t>sum(c_i^2)</t>
  </si>
  <si>
    <t>Number of sensors / points N</t>
  </si>
  <si>
    <t>Output quantity (gradient or difference)</t>
  </si>
  <si>
    <t>gradient</t>
  </si>
  <si>
    <t>Required gradiometer RMS [pT/m if gradient, pT if difference]</t>
  </si>
  <si>
    <t>Band low f_low [Hz]</t>
  </si>
  <si>
    <t>Band high f_high [Hz]</t>
  </si>
  <si>
    <t>Computed</t>
  </si>
  <si>
    <t>Lookup sum(c_i^2) from N</t>
  </si>
  <si>
    <t>weight_sq_sum = output_variance / sensor_variance</t>
  </si>
  <si>
    <t>Required sensor RMS [pT]</t>
  </si>
  <si>
    <t>Bandwidth Delta_f [Hz]</t>
  </si>
  <si>
    <t>Flat sensor ASD for same RMS [pT/sqrt(Hz)]</t>
  </si>
  <si>
    <t>RMS estimate [pT]</t>
  </si>
  <si>
    <t>Assume PSD(f) = K/f</t>
  </si>
  <si>
    <t>K [pT^2]</t>
  </si>
  <si>
    <t>Sensor ASD at arithmetic band center [pT/sqrt(Hz)]</t>
  </si>
  <si>
    <t>ratio</t>
  </si>
  <si>
    <t>Arithmetic center frequency f_c,arith [Hz]</t>
  </si>
  <si>
    <t>Sensor ASD at geometric band center [pT/sqrt(Hz)]</t>
  </si>
  <si>
    <t>Geometric center frequency f_c,geom [Hz]</t>
  </si>
  <si>
    <t>Sensor ASD at characteristic frequency [pT/sqrt(Hz)]</t>
  </si>
  <si>
    <t>Characteristic frequency f_char [Hz] where ASD(f_char)*sqrt(BW)=required sensor RMS</t>
  </si>
  <si>
    <t>Sensor</t>
  </si>
  <si>
    <t>HTS SQUID</t>
  </si>
  <si>
    <t>Fluxgate</t>
  </si>
  <si>
    <t>1/f ASD coefficient at 1 Hz from sensor model [fT/sqrt(Hz)]</t>
  </si>
  <si>
    <t>Integrated 1/f sensor RMS over band [pT]</t>
  </si>
  <si>
    <t>Trial frequency for 1/f ASD [Hz]</t>
  </si>
  <si>
    <t>reference for noise</t>
  </si>
  <si>
    <t>Cantor et al IEEE TRANSACTIONSON APPLIED SUPERCONDUCTIVITY, VOL. 5, NO. 2, JUNE 1995</t>
  </si>
  <si>
    <t>Kivelson  Space Science Reviews (2023) 219:48</t>
  </si>
  <si>
    <t>1/f sensor ASD at trial frequency [pT/sqrt(Hz)]</t>
  </si>
  <si>
    <t>1/f sensor ASD at trial frequency [fT/sqrt(Hz)]</t>
  </si>
  <si>
    <t>Margin factor</t>
  </si>
  <si>
    <t>Notes:</t>
  </si>
  <si>
    <t>- N lookup table is precomputed using solar_wind_functions.central_difference_coefficients.</t>
  </si>
  <si>
    <t>- For N not in lookup, add rows in columns E:F (or set B12 manually).</t>
  </si>
  <si>
    <t>- Band center frequencies are listed below each center-ASD pair.</t>
  </si>
  <si>
    <t>- 1/f ASD model: ASD(f) = (A_1Hz/1000)/SQRT(f), where A_1Hz is in fT/sqrt(Hz) and ASD is in pT/sqrt(Hz).</t>
  </si>
  <si>
    <t>- Integrated 1/f RMS over [f_low, f_high]: RMS = (A_1Hz/1000)*SQRT(LN(f_high/f_low)) [pT].</t>
  </si>
  <si>
    <t>Maximum allowed 1/f noise at trial freq   [pT/sqrt(Hz)]</t>
  </si>
  <si>
    <t>1 m gradiometer, SQUID</t>
  </si>
  <si>
    <t>10 cm gradiometer, SQUID</t>
  </si>
  <si>
    <t>10 m gradiometer, flux gatee</t>
  </si>
  <si>
    <t>100 km gradiometer flux gate</t>
  </si>
  <si>
    <t>1  km gradiometer flux gate</t>
  </si>
  <si>
    <t>White noise Maximum average noise over band (pT/root 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</si>
</sst>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E+00"/>
    <numFmt numFmtId="165" formatCode="0.000"/>
    <numFmt numFmtId="166" formatCode="0.0"/>
    <numFmt numFmtId="167" formatCode="0.0000"/>
    <numFmt numFmtId="168" formatCode="0.000000"/>
  </numFmts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AF2FF"/>
      </patternFill>
    </fill>
    <fill>
      <patternFill patternType="solid">
        <fgColor rgb="FFF6F6F6"/>
      </patternFill>
    </fill>
    <fill>
      <patternFill patternType="solid">
        <fgColor rgb="FFF6F6F6"/>
      </patternFill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4" fillId="5" borderId="0"/>
  </cellStyleXfs>
  <cellXfs count="78">
    <xf numFmtId="0" fontId="0" fillId="0" borderId="0" xfId="0"/>
    <xf numFmtId="0" fontId="2" fillId="0" borderId="0" xfId="0" applyFont="1"/>
    <xf numFmtId="0" fontId="0" fillId="2" borderId="0" xfId="0" applyFill="1"/>
    <xf numFmtId="164" fontId="0" fillId="2" borderId="0" xfId="0" applyNumberFormat="1" applyFill="1"/>
    <xf numFmtId="0" fontId="0" fillId="0" borderId="0" xfId="0" applyAlignment="1">
      <alignment wrapText="1"/>
    </xf>
    <xf numFmtId="165" fontId="0" fillId="3" borderId="0" xfId="0" applyNumberFormat="1" applyFill="1"/>
    <xf numFmtId="165" fontId="0" fillId="0" borderId="0" xfId="0" applyNumberFormat="1"/>
    <xf numFmtId="165" fontId="0" fillId="4" borderId="0" xfId="0" applyNumberFormat="1" applyFill="1"/>
    <xf numFmtId="1" fontId="3" fillId="4" borderId="0" xfId="0" applyNumberFormat="1" applyFont="1" applyFill="1"/>
    <xf numFmtId="1" fontId="0" fillId="4" borderId="0" xfId="0" applyNumberFormat="1" applyFill="1"/>
    <xf numFmtId="166" fontId="0" fillId="3" borderId="0" xfId="0" applyNumberFormat="1" applyFill="1"/>
    <xf numFmtId="1" fontId="0" fillId="3" borderId="0" xfId="0" applyNumberFormat="1" applyFill="1"/>
    <xf numFmtId="166" fontId="3" fillId="3" borderId="0" xfId="0" applyNumberFormat="1" applyFont="1" applyFill="1"/>
    <xf numFmtId="167" fontId="0" fillId="4" borderId="0" xfId="0" applyNumberFormat="1" applyFill="1"/>
    <xf numFmtId="0" fontId="0" fillId="0" borderId="1" xfId="0" applyBorder="1"/>
    <xf numFmtId="0" fontId="3" fillId="2" borderId="0" xfId="0" applyFont="1" applyFill="1"/>
    <xf numFmtId="0" fontId="3" fillId="0" borderId="0" xfId="0" applyFont="1"/>
    <xf numFmtId="167" fontId="0" fillId="0" borderId="0" xfId="0" applyNumberFormat="1"/>
    <xf numFmtId="168" fontId="0" fillId="0" borderId="0" xfId="0" applyNumberFormat="1"/>
    <xf numFmtId="168" fontId="4" fillId="0" borderId="0" xfId="1" applyNumberFormat="1" applyFill="1"/>
    <xf numFmtId="168" fontId="5" fillId="5" borderId="0" xfId="1" applyNumberFormat="1" applyFont="1"/>
    <xf numFmtId="164" fontId="5" fillId="5" borderId="0" xfId="1" applyNumberFormat="1" applyFont="1"/>
    <xf numFmtId="167" fontId="3" fillId="0" borderId="0" xfId="0" applyNumberFormat="1" applyFont="1"/>
    <xf numFmtId="166" fontId="0" fillId="0" borderId="0" xfId="0" applyNumberFormat="1"/>
    <xf numFmtId="1" fontId="0" fillId="0" borderId="0" xfId="0" applyNumberFormat="1" applyFont="1"/>
    <xf numFmtId="167" fontId="0" fillId="0" borderId="0" xfId="0" applyNumberFormat="1" applyFont="1"/>
    <xf numFmtId="2" fontId="6" fillId="0" borderId="0" xfId="0" applyNumberFormat="1" applyFont="1"/>
    <xf numFmtId="2" fontId="0" fillId="0" borderId="0" xfId="0" applyNumberFormat="1" applyFont="1"/>
    <xf numFmtId="0" fontId="1" fillId="0" borderId="0" xfId="0" applyFont="1" applyAlignment="1"/>
    <xf numFmtId="0" fontId="0" fillId="0" borderId="0" xfId="0" applyAlignment="1"/>
    <xf numFmtId="0" fontId="0" fillId="2" borderId="3" xfId="0" applyFill="1" applyBorder="1"/>
    <xf numFmtId="0" fontId="3" fillId="2" borderId="3" xfId="0" applyFont="1" applyFill="1" applyBorder="1"/>
    <xf numFmtId="164" fontId="0" fillId="2" borderId="3" xfId="0" applyNumberFormat="1" applyFill="1" applyBorder="1"/>
    <xf numFmtId="0" fontId="0" fillId="0" borderId="3" xfId="0" applyBorder="1"/>
    <xf numFmtId="166" fontId="0" fillId="3" borderId="3" xfId="0" applyNumberFormat="1" applyFill="1" applyBorder="1"/>
    <xf numFmtId="165" fontId="0" fillId="3" borderId="3" xfId="0" applyNumberFormat="1" applyFill="1" applyBorder="1"/>
    <xf numFmtId="166" fontId="3" fillId="3" borderId="3" xfId="0" applyNumberFormat="1" applyFont="1" applyFill="1" applyBorder="1"/>
    <xf numFmtId="1" fontId="0" fillId="3" borderId="3" xfId="0" applyNumberFormat="1" applyFill="1" applyBorder="1"/>
    <xf numFmtId="165" fontId="0" fillId="0" borderId="3" xfId="0" applyNumberFormat="1" applyBorder="1"/>
    <xf numFmtId="1" fontId="0" fillId="4" borderId="3" xfId="0" applyNumberFormat="1" applyFill="1" applyBorder="1"/>
    <xf numFmtId="167" fontId="0" fillId="4" borderId="3" xfId="0" applyNumberFormat="1" applyFill="1" applyBorder="1"/>
    <xf numFmtId="1" fontId="3" fillId="4" borderId="3" xfId="0" applyNumberFormat="1" applyFont="1" applyFill="1" applyBorder="1"/>
    <xf numFmtId="165" fontId="0" fillId="4" borderId="3" xfId="0" applyNumberFormat="1" applyFill="1" applyBorder="1"/>
    <xf numFmtId="167" fontId="0" fillId="0" borderId="3" xfId="0" applyNumberFormat="1" applyBorder="1"/>
    <xf numFmtId="168" fontId="5" fillId="5" borderId="3" xfId="1" applyNumberFormat="1" applyFont="1" applyBorder="1"/>
    <xf numFmtId="168" fontId="4" fillId="0" borderId="3" xfId="1" applyNumberFormat="1" applyFill="1" applyBorder="1"/>
    <xf numFmtId="0" fontId="0" fillId="0" borderId="3" xfId="0" applyBorder="1" applyAlignment="1">
      <alignment wrapText="1"/>
    </xf>
    <xf numFmtId="168" fontId="0" fillId="0" borderId="3" xfId="0" applyNumberFormat="1" applyBorder="1"/>
    <xf numFmtId="167" fontId="3" fillId="0" borderId="3" xfId="0" applyNumberFormat="1" applyFont="1" applyBorder="1"/>
    <xf numFmtId="1" fontId="0" fillId="0" borderId="3" xfId="0" applyNumberFormat="1" applyFont="1" applyBorder="1"/>
    <xf numFmtId="166" fontId="0" fillId="0" borderId="3" xfId="0" applyNumberFormat="1" applyBorder="1"/>
    <xf numFmtId="0" fontId="0" fillId="0" borderId="0" xfId="0" applyBorder="1"/>
    <xf numFmtId="1" fontId="3" fillId="4" borderId="0" xfId="0" applyNumberFormat="1" applyFont="1" applyFill="1" applyBorder="1"/>
    <xf numFmtId="167" fontId="0" fillId="4" borderId="0" xfId="0" applyNumberFormat="1" applyFill="1" applyBorder="1"/>
    <xf numFmtId="0" fontId="0" fillId="0" borderId="4" xfId="0" applyBorder="1"/>
    <xf numFmtId="0" fontId="0" fillId="2" borderId="6" xfId="0" applyFill="1" applyBorder="1"/>
    <xf numFmtId="0" fontId="3" fillId="2" borderId="6" xfId="0" applyFont="1" applyFill="1" applyBorder="1"/>
    <xf numFmtId="164" fontId="0" fillId="2" borderId="6" xfId="0" applyNumberFormat="1" applyFill="1" applyBorder="1"/>
    <xf numFmtId="0" fontId="0" fillId="0" borderId="6" xfId="0" applyBorder="1"/>
    <xf numFmtId="166" fontId="0" fillId="3" borderId="6" xfId="0" applyNumberFormat="1" applyFill="1" applyBorder="1"/>
    <xf numFmtId="165" fontId="0" fillId="3" borderId="6" xfId="0" applyNumberFormat="1" applyFill="1" applyBorder="1"/>
    <xf numFmtId="166" fontId="3" fillId="3" borderId="6" xfId="0" applyNumberFormat="1" applyFont="1" applyFill="1" applyBorder="1"/>
    <xf numFmtId="1" fontId="0" fillId="3" borderId="6" xfId="0" applyNumberFormat="1" applyFill="1" applyBorder="1"/>
    <xf numFmtId="165" fontId="0" fillId="0" borderId="6" xfId="0" applyNumberFormat="1" applyBorder="1"/>
    <xf numFmtId="1" fontId="0" fillId="4" borderId="6" xfId="0" applyNumberFormat="1" applyFill="1" applyBorder="1"/>
    <xf numFmtId="167" fontId="0" fillId="4" borderId="6" xfId="0" applyNumberFormat="1" applyFill="1" applyBorder="1"/>
    <xf numFmtId="1" fontId="3" fillId="4" borderId="6" xfId="0" applyNumberFormat="1" applyFont="1" applyFill="1" applyBorder="1"/>
    <xf numFmtId="165" fontId="0" fillId="4" borderId="6" xfId="0" applyNumberFormat="1" applyFill="1" applyBorder="1"/>
    <xf numFmtId="167" fontId="0" fillId="0" borderId="6" xfId="0" applyNumberFormat="1" applyBorder="1"/>
    <xf numFmtId="164" fontId="5" fillId="5" borderId="6" xfId="1" applyNumberFormat="1" applyFont="1" applyBorder="1"/>
    <xf numFmtId="168" fontId="4" fillId="0" borderId="6" xfId="1" applyNumberFormat="1" applyFill="1" applyBorder="1"/>
    <xf numFmtId="0" fontId="0" fillId="0" borderId="6" xfId="0" applyBorder="1" applyAlignment="1">
      <alignment wrapText="1"/>
    </xf>
    <xf numFmtId="168" fontId="0" fillId="0" borderId="6" xfId="0" applyNumberFormat="1" applyBorder="1"/>
    <xf numFmtId="167" fontId="3" fillId="0" borderId="6" xfId="0" applyNumberFormat="1" applyFont="1" applyBorder="1"/>
    <xf numFmtId="2" fontId="0" fillId="0" borderId="6" xfId="0" applyNumberFormat="1" applyFont="1" applyBorder="1"/>
    <xf numFmtId="166" fontId="0" fillId="0" borderId="6" xfId="0" applyNumberFormat="1" applyBorder="1"/>
    <xf numFmtId="166" fontId="3" fillId="0" borderId="2" xfId="0" applyNumberFormat="1" applyFont="1" applyBorder="1"/>
    <xf numFmtId="166" fontId="3" fillId="0" borderId="5" xfId="0" applyNumberFormat="1" applyFont="1" applyBorder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590550</xdr:colOff>
      <xdr:row>0</xdr:row>
      <xdr:rowOff>123825</xdr:rowOff>
    </xdr:from>
    <xdr:to>
      <xdr:col>24</xdr:col>
      <xdr:colOff>38580</xdr:colOff>
      <xdr:row>30</xdr:row>
      <xdr:rowOff>48018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73125" y="123825"/>
          <a:ext cx="5544030" cy="4536198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tabSelected="1" workbookViewId="0">
      <pane ySplit="3" topLeftCell="A4" activePane="bottomLeft" state="frozen"/>
      <selection pane="bottomLeft" activeCell="A43" sqref="A43"/>
    </sheetView>
  </sheetViews>
  <sheetFormatPr defaultRowHeight="14.4" x14ac:dyDescent="0.3"/>
  <cols>
    <col min="1" max="1" width="80.6640625" customWidth="1"/>
    <col min="2" max="2" width="28" customWidth="1"/>
    <col min="3" max="3" width="25.44140625" customWidth="1"/>
    <col min="4" max="4" width="12.109375" customWidth="1"/>
    <col min="5" max="7" width="28" customWidth="1"/>
    <col min="8" max="8" width="21.5546875" customWidth="1"/>
    <col min="10" max="10" width="18.109375" customWidth="1"/>
    <col min="11" max="11" width="18" customWidth="1"/>
    <col min="12" max="12" width="14.44140625" customWidth="1"/>
  </cols>
  <sheetData>
    <row r="1" spans="1:11" ht="18" customHeight="1" x14ac:dyDescent="0.35">
      <c r="A1" s="28" t="s">
        <v>0</v>
      </c>
      <c r="B1" s="29"/>
      <c r="C1" s="29"/>
      <c r="D1" s="29"/>
      <c r="E1" s="29"/>
      <c r="F1" s="29"/>
      <c r="G1" s="29"/>
      <c r="H1" s="29"/>
      <c r="I1" s="29"/>
    </row>
    <row r="2" spans="1:11" ht="15" thickBot="1" x14ac:dyDescent="0.35"/>
    <row r="3" spans="1:11" x14ac:dyDescent="0.3">
      <c r="A3" s="1" t="s">
        <v>1</v>
      </c>
      <c r="B3" s="14" t="s">
        <v>2</v>
      </c>
      <c r="C3" s="54" t="s">
        <v>52</v>
      </c>
      <c r="E3" t="s">
        <v>48</v>
      </c>
      <c r="F3" t="s">
        <v>49</v>
      </c>
      <c r="G3" t="s">
        <v>50</v>
      </c>
      <c r="H3" t="s">
        <v>51</v>
      </c>
      <c r="J3" s="1" t="s">
        <v>3</v>
      </c>
    </row>
    <row r="4" spans="1:11" x14ac:dyDescent="0.3">
      <c r="A4" t="s">
        <v>4</v>
      </c>
      <c r="B4" s="30">
        <v>10</v>
      </c>
      <c r="C4" s="55">
        <v>1000</v>
      </c>
      <c r="D4" s="2"/>
      <c r="E4" s="2">
        <v>1</v>
      </c>
      <c r="F4" s="2">
        <v>0.1</v>
      </c>
      <c r="G4" s="2">
        <v>10</v>
      </c>
      <c r="H4" s="2">
        <v>100000</v>
      </c>
      <c r="J4" s="1" t="s">
        <v>5</v>
      </c>
      <c r="K4" s="1" t="s">
        <v>6</v>
      </c>
    </row>
    <row r="5" spans="1:11" x14ac:dyDescent="0.3">
      <c r="A5" t="s">
        <v>7</v>
      </c>
      <c r="B5" s="30">
        <v>2</v>
      </c>
      <c r="C5" s="55">
        <v>2</v>
      </c>
      <c r="D5" s="2"/>
      <c r="E5" s="2">
        <v>2</v>
      </c>
      <c r="F5" s="2">
        <v>2</v>
      </c>
      <c r="G5" s="2">
        <v>2</v>
      </c>
      <c r="H5" s="2">
        <v>2</v>
      </c>
      <c r="J5">
        <v>1</v>
      </c>
      <c r="K5">
        <v>1</v>
      </c>
    </row>
    <row r="6" spans="1:11" x14ac:dyDescent="0.3">
      <c r="A6" t="s">
        <v>8</v>
      </c>
      <c r="B6" s="30" t="s">
        <v>9</v>
      </c>
      <c r="C6" s="55" t="s">
        <v>9</v>
      </c>
      <c r="D6" s="2"/>
      <c r="E6" s="2" t="s">
        <v>9</v>
      </c>
      <c r="F6" s="2" t="s">
        <v>9</v>
      </c>
      <c r="G6" s="2" t="s">
        <v>9</v>
      </c>
      <c r="H6" s="2" t="s">
        <v>9</v>
      </c>
      <c r="J6">
        <v>2</v>
      </c>
      <c r="K6">
        <v>2</v>
      </c>
    </row>
    <row r="7" spans="1:11" x14ac:dyDescent="0.3">
      <c r="A7" s="16" t="s">
        <v>10</v>
      </c>
      <c r="B7" s="31">
        <v>1</v>
      </c>
      <c r="C7" s="56">
        <v>1</v>
      </c>
      <c r="D7" s="15"/>
      <c r="E7" s="15">
        <v>1</v>
      </c>
      <c r="F7" s="15">
        <v>1</v>
      </c>
      <c r="G7" s="15">
        <v>1</v>
      </c>
      <c r="H7" s="15">
        <v>1</v>
      </c>
      <c r="J7">
        <v>3</v>
      </c>
      <c r="K7">
        <v>2</v>
      </c>
    </row>
    <row r="8" spans="1:11" x14ac:dyDescent="0.3">
      <c r="A8" t="s">
        <v>11</v>
      </c>
      <c r="B8" s="32">
        <f t="shared" ref="B8:H8" si="0">1/3600</f>
        <v>2.7777777777777778E-4</v>
      </c>
      <c r="C8" s="57">
        <f t="shared" si="0"/>
        <v>2.7777777777777778E-4</v>
      </c>
      <c r="D8" s="3"/>
      <c r="E8" s="3">
        <f t="shared" si="0"/>
        <v>2.7777777777777778E-4</v>
      </c>
      <c r="F8" s="3">
        <f t="shared" si="0"/>
        <v>2.7777777777777778E-4</v>
      </c>
      <c r="G8" s="3">
        <f t="shared" si="0"/>
        <v>2.7777777777777778E-4</v>
      </c>
      <c r="H8" s="3">
        <f t="shared" si="0"/>
        <v>2.7777777777777778E-4</v>
      </c>
      <c r="J8">
        <v>5</v>
      </c>
      <c r="K8">
        <v>14.444444444444439</v>
      </c>
    </row>
    <row r="9" spans="1:11" x14ac:dyDescent="0.3">
      <c r="A9" t="s">
        <v>12</v>
      </c>
      <c r="B9" s="32">
        <f t="shared" ref="B9:H9" si="1">1/114.483</f>
        <v>8.7349213420333145E-3</v>
      </c>
      <c r="C9" s="57">
        <f t="shared" si="1"/>
        <v>8.7349213420333145E-3</v>
      </c>
      <c r="D9" s="3"/>
      <c r="E9" s="3">
        <f t="shared" si="1"/>
        <v>8.7349213420333145E-3</v>
      </c>
      <c r="F9" s="3">
        <f t="shared" si="1"/>
        <v>8.7349213420333145E-3</v>
      </c>
      <c r="G9" s="3">
        <f t="shared" si="1"/>
        <v>8.7349213420333145E-3</v>
      </c>
      <c r="H9" s="3">
        <f t="shared" si="1"/>
        <v>8.7349213420333145E-3</v>
      </c>
      <c r="J9">
        <v>7</v>
      </c>
      <c r="K9">
        <v>42.139999999999993</v>
      </c>
    </row>
    <row r="10" spans="1:11" x14ac:dyDescent="0.3">
      <c r="B10" s="33"/>
      <c r="C10" s="58"/>
      <c r="J10">
        <v>9</v>
      </c>
      <c r="K10">
        <v>87.227392290249398</v>
      </c>
    </row>
    <row r="11" spans="1:11" x14ac:dyDescent="0.3">
      <c r="A11" s="1" t="s">
        <v>13</v>
      </c>
      <c r="B11" s="33"/>
      <c r="C11" s="58"/>
      <c r="J11">
        <v>11</v>
      </c>
      <c r="K11">
        <v>150.95518392542391</v>
      </c>
    </row>
    <row r="12" spans="1:11" x14ac:dyDescent="0.3">
      <c r="A12" t="s">
        <v>14</v>
      </c>
      <c r="B12" s="34">
        <f t="shared" ref="B12:H12" si="2">IFERROR(_xlfn.SINGLE(_xlfn.XLOOKUP(B5,$J$5:$J$29,$K$5:$K$29)),NA())</f>
        <v>2</v>
      </c>
      <c r="C12" s="59">
        <f>IFERROR(_xlfn.SINGLE(_xlfn.XLOOKUP(C5,$J$5:$J$29,$K$5:$K$29)),NA())</f>
        <v>2</v>
      </c>
      <c r="D12" s="10"/>
      <c r="E12" s="10">
        <f t="shared" si="2"/>
        <v>2</v>
      </c>
      <c r="F12" s="10">
        <f t="shared" si="2"/>
        <v>2</v>
      </c>
      <c r="G12" s="10">
        <f t="shared" si="2"/>
        <v>2</v>
      </c>
      <c r="H12" s="10">
        <f t="shared" si="2"/>
        <v>2</v>
      </c>
    </row>
    <row r="13" spans="1:11" x14ac:dyDescent="0.3">
      <c r="A13" t="s">
        <v>15</v>
      </c>
      <c r="B13" s="35">
        <f t="shared" ref="B13:H13" si="3">IF(B6="gradient",B12/(B4^2),B12)</f>
        <v>0.02</v>
      </c>
      <c r="C13" s="60">
        <f>IF(C6="gradient",C12/(C4^2),C12)</f>
        <v>1.9999999999999999E-6</v>
      </c>
      <c r="D13" s="5"/>
      <c r="E13" s="5">
        <f t="shared" si="3"/>
        <v>2</v>
      </c>
      <c r="F13" s="5">
        <f t="shared" si="3"/>
        <v>199.99999999999997</v>
      </c>
      <c r="G13" s="5">
        <f t="shared" si="3"/>
        <v>0.02</v>
      </c>
      <c r="H13" s="5">
        <f t="shared" si="3"/>
        <v>2.0000000000000001E-10</v>
      </c>
    </row>
    <row r="14" spans="1:11" x14ac:dyDescent="0.3">
      <c r="A14" s="16" t="s">
        <v>16</v>
      </c>
      <c r="B14" s="36">
        <f t="shared" ref="B14:H14" si="4">B7/SQRT(B13)</f>
        <v>7.0710678118654755</v>
      </c>
      <c r="C14" s="61">
        <f>C7/SQRT(C13)</f>
        <v>707.10678118654755</v>
      </c>
      <c r="D14" s="12"/>
      <c r="E14" s="12">
        <f t="shared" si="4"/>
        <v>0.70710678118654746</v>
      </c>
      <c r="F14" s="12">
        <f t="shared" si="4"/>
        <v>7.0710678118654766E-2</v>
      </c>
      <c r="G14" s="12">
        <f t="shared" si="4"/>
        <v>7.0710678118654755</v>
      </c>
      <c r="H14" s="12">
        <f t="shared" si="4"/>
        <v>70710.678118654745</v>
      </c>
    </row>
    <row r="15" spans="1:11" x14ac:dyDescent="0.3">
      <c r="A15" t="s">
        <v>17</v>
      </c>
      <c r="B15" s="35">
        <f t="shared" ref="B15:H15" si="5">B9-B8</f>
        <v>8.4571435642555367E-3</v>
      </c>
      <c r="C15" s="60">
        <f>C9-C8</f>
        <v>8.4571435642555367E-3</v>
      </c>
      <c r="D15" s="5"/>
      <c r="E15" s="5">
        <f t="shared" si="5"/>
        <v>8.4571435642555367E-3</v>
      </c>
      <c r="F15" s="5">
        <f t="shared" si="5"/>
        <v>8.4571435642555367E-3</v>
      </c>
      <c r="G15" s="5">
        <f t="shared" si="5"/>
        <v>8.4571435642555367E-3</v>
      </c>
      <c r="H15" s="5">
        <f t="shared" si="5"/>
        <v>8.4571435642555367E-3</v>
      </c>
    </row>
    <row r="16" spans="1:11" x14ac:dyDescent="0.3">
      <c r="A16" t="s">
        <v>18</v>
      </c>
      <c r="B16" s="37">
        <f t="shared" ref="B16:H16" si="6">B14/SQRT(B15)</f>
        <v>76.890582439195114</v>
      </c>
      <c r="C16" s="62">
        <f>C14/SQRT(C15)</f>
        <v>7689.0582439195114</v>
      </c>
      <c r="D16" s="11"/>
      <c r="E16" s="11">
        <f t="shared" si="6"/>
        <v>7.6890582439195105</v>
      </c>
      <c r="F16" s="11">
        <f t="shared" si="6"/>
        <v>0.76890582439195132</v>
      </c>
      <c r="G16" s="11">
        <f t="shared" si="6"/>
        <v>76.890582439195114</v>
      </c>
      <c r="H16" s="11">
        <f t="shared" si="6"/>
        <v>768905.82439195109</v>
      </c>
      <c r="J16" t="s">
        <v>19</v>
      </c>
      <c r="K16">
        <f>B16*SQRT($B$15)</f>
        <v>7.0710678118654755</v>
      </c>
    </row>
    <row r="17" spans="1:14" x14ac:dyDescent="0.3">
      <c r="B17" s="37"/>
      <c r="C17" s="62"/>
      <c r="D17" s="11"/>
      <c r="E17" s="11"/>
      <c r="F17" s="11"/>
      <c r="G17" s="11"/>
      <c r="H17" s="11"/>
    </row>
    <row r="18" spans="1:14" x14ac:dyDescent="0.3">
      <c r="B18" s="38"/>
      <c r="C18" s="63"/>
      <c r="D18" s="6"/>
      <c r="E18" s="6"/>
      <c r="F18" s="6"/>
      <c r="G18" s="6"/>
      <c r="H18" s="6"/>
    </row>
    <row r="19" spans="1:14" x14ac:dyDescent="0.3">
      <c r="A19" s="1" t="s">
        <v>20</v>
      </c>
      <c r="B19" s="38"/>
      <c r="C19" s="63"/>
      <c r="D19" s="6"/>
      <c r="E19" s="6"/>
      <c r="F19" s="6"/>
      <c r="G19" s="6"/>
      <c r="H19" s="6"/>
    </row>
    <row r="20" spans="1:14" x14ac:dyDescent="0.3">
      <c r="A20" t="s">
        <v>21</v>
      </c>
      <c r="B20" s="37">
        <f t="shared" ref="B20:H20" si="7">B14^2/LN(B9/B8)</f>
        <v>14.500054993115885</v>
      </c>
      <c r="C20" s="62">
        <f>C14^2/LN(C9/C8)</f>
        <v>145000.54993115886</v>
      </c>
      <c r="D20" s="11"/>
      <c r="E20" s="11">
        <f t="shared" si="7"/>
        <v>0.1450005499311588</v>
      </c>
      <c r="F20" s="11">
        <f t="shared" si="7"/>
        <v>1.4500054993115889E-3</v>
      </c>
      <c r="G20" s="11">
        <f t="shared" si="7"/>
        <v>14.500054993115885</v>
      </c>
      <c r="H20" s="11">
        <f t="shared" si="7"/>
        <v>1450005499.311588</v>
      </c>
    </row>
    <row r="21" spans="1:14" x14ac:dyDescent="0.3">
      <c r="B21" s="37"/>
      <c r="C21" s="62"/>
      <c r="D21" s="11"/>
      <c r="E21" s="11"/>
      <c r="F21" s="11"/>
      <c r="G21" s="11"/>
      <c r="H21" s="11"/>
    </row>
    <row r="22" spans="1:14" hidden="1" x14ac:dyDescent="0.3">
      <c r="A22" t="s">
        <v>22</v>
      </c>
      <c r="B22" s="39">
        <f t="shared" ref="B22:H22" si="8">SQRT(B20/((B8+B9)/2))</f>
        <v>56.724723300480704</v>
      </c>
      <c r="C22" s="64">
        <f>SQRT(C20/((C8+C9)/2))</f>
        <v>5672.4723300480709</v>
      </c>
      <c r="D22" s="9"/>
      <c r="E22" s="9">
        <f t="shared" si="8"/>
        <v>5.6724723300480697</v>
      </c>
      <c r="F22" s="9">
        <f t="shared" si="8"/>
        <v>0.56724723300480717</v>
      </c>
      <c r="G22" s="9">
        <f t="shared" si="8"/>
        <v>56.724723300480704</v>
      </c>
      <c r="H22" s="9">
        <f t="shared" si="8"/>
        <v>567247.23300480691</v>
      </c>
      <c r="J22" t="s">
        <v>19</v>
      </c>
      <c r="K22">
        <f>B22*SQRT($B$15)</f>
        <v>5.2165603685496462</v>
      </c>
      <c r="M22" t="s">
        <v>23</v>
      </c>
      <c r="N22">
        <f>K22/$B$14</f>
        <v>0.73773304221409008</v>
      </c>
    </row>
    <row r="23" spans="1:14" hidden="1" x14ac:dyDescent="0.3">
      <c r="A23" t="s">
        <v>24</v>
      </c>
      <c r="B23" s="40">
        <f t="shared" ref="B23:H23" si="9">(B8+B9)/2</f>
        <v>4.5063495599055462E-3</v>
      </c>
      <c r="C23" s="65">
        <f>(C8+C9)/2</f>
        <v>4.5063495599055462E-3</v>
      </c>
      <c r="D23" s="13"/>
      <c r="E23" s="13">
        <f t="shared" si="9"/>
        <v>4.5063495599055462E-3</v>
      </c>
      <c r="F23" s="13">
        <f t="shared" si="9"/>
        <v>4.5063495599055462E-3</v>
      </c>
      <c r="G23" s="13">
        <f t="shared" si="9"/>
        <v>4.5063495599055462E-3</v>
      </c>
      <c r="H23" s="13">
        <f t="shared" si="9"/>
        <v>4.5063495599055462E-3</v>
      </c>
    </row>
    <row r="24" spans="1:14" hidden="1" x14ac:dyDescent="0.3">
      <c r="B24" s="39"/>
      <c r="C24" s="64"/>
      <c r="D24" s="9"/>
      <c r="E24" s="9"/>
      <c r="F24" s="9"/>
      <c r="G24" s="9"/>
      <c r="H24" s="9"/>
    </row>
    <row r="25" spans="1:14" hidden="1" x14ac:dyDescent="0.3">
      <c r="A25" t="s">
        <v>25</v>
      </c>
      <c r="B25" s="41">
        <f t="shared" ref="B25:H25" si="10">SQRT(B20/SQRT(B8*B9))</f>
        <v>96.481867315635242</v>
      </c>
      <c r="C25" s="66">
        <f>SQRT(C20/SQRT(C8*C9))</f>
        <v>9648.1867315635245</v>
      </c>
      <c r="D25" s="8"/>
      <c r="E25" s="8">
        <f t="shared" si="10"/>
        <v>9.6481867315635217</v>
      </c>
      <c r="F25" s="8">
        <f t="shared" si="10"/>
        <v>0.96481867315635261</v>
      </c>
      <c r="G25" s="8">
        <f t="shared" si="10"/>
        <v>96.481867315635242</v>
      </c>
      <c r="H25" s="8">
        <f t="shared" si="10"/>
        <v>964818.67315635236</v>
      </c>
      <c r="J25" t="s">
        <v>19</v>
      </c>
      <c r="K25">
        <f>B25*SQRT($B$15)</f>
        <v>8.8727358378871646</v>
      </c>
      <c r="M25" t="s">
        <v>23</v>
      </c>
      <c r="N25">
        <f>K25/$B$14</f>
        <v>1.2547943357293836</v>
      </c>
    </row>
    <row r="26" spans="1:14" hidden="1" x14ac:dyDescent="0.3">
      <c r="A26" t="s">
        <v>26</v>
      </c>
      <c r="B26" s="40">
        <f t="shared" ref="B26:H26" si="11">SQRT(B8*B9)</f>
        <v>1.5576800183136775E-3</v>
      </c>
      <c r="C26" s="65">
        <f>SQRT(C8*C9)</f>
        <v>1.5576800183136775E-3</v>
      </c>
      <c r="D26" s="13"/>
      <c r="E26" s="13">
        <f t="shared" si="11"/>
        <v>1.5576800183136775E-3</v>
      </c>
      <c r="F26" s="13">
        <f t="shared" si="11"/>
        <v>1.5576800183136775E-3</v>
      </c>
      <c r="G26" s="13">
        <f t="shared" si="11"/>
        <v>1.5576800183136775E-3</v>
      </c>
      <c r="H26" s="13">
        <f t="shared" si="11"/>
        <v>1.5576800183136775E-3</v>
      </c>
    </row>
    <row r="27" spans="1:14" ht="15" customHeight="1" x14ac:dyDescent="0.3">
      <c r="B27" s="42"/>
      <c r="C27" s="67"/>
      <c r="D27" s="7"/>
      <c r="E27" s="7"/>
      <c r="F27" s="7"/>
      <c r="G27" s="7"/>
      <c r="H27" s="7"/>
    </row>
    <row r="28" spans="1:14" x14ac:dyDescent="0.3">
      <c r="A28" s="51" t="s">
        <v>27</v>
      </c>
      <c r="B28" s="41">
        <f t="shared" ref="B28:H28" si="12">SQRT(B20/B29)</f>
        <v>76.890582439195114</v>
      </c>
      <c r="C28" s="66">
        <f>SQRT(C20/C29)</f>
        <v>7689.0582439195114</v>
      </c>
      <c r="D28" s="52"/>
      <c r="E28" s="52">
        <f t="shared" si="12"/>
        <v>7.6890582439195105</v>
      </c>
      <c r="F28" s="52">
        <f t="shared" si="12"/>
        <v>0.76890582439195121</v>
      </c>
      <c r="G28" s="52">
        <f t="shared" si="12"/>
        <v>76.890582439195114</v>
      </c>
      <c r="H28" s="52">
        <f t="shared" si="12"/>
        <v>768905.82439195109</v>
      </c>
      <c r="J28" t="s">
        <v>19</v>
      </c>
      <c r="K28">
        <f>B28*SQRT($B$15)</f>
        <v>7.0710678118654755</v>
      </c>
      <c r="M28" t="s">
        <v>23</v>
      </c>
      <c r="N28">
        <f>K28/$B$14</f>
        <v>1</v>
      </c>
    </row>
    <row r="29" spans="1:14" ht="15" customHeight="1" x14ac:dyDescent="0.3">
      <c r="A29" s="51" t="s">
        <v>28</v>
      </c>
      <c r="B29" s="40">
        <f t="shared" ref="B29:H29" si="13">B20*B15/(B14^2)</f>
        <v>2.4525809353276272E-3</v>
      </c>
      <c r="C29" s="65">
        <f>C20*C15/(C14^2)</f>
        <v>2.4525809353276272E-3</v>
      </c>
      <c r="D29" s="53"/>
      <c r="E29" s="53">
        <f t="shared" si="13"/>
        <v>2.4525809353276268E-3</v>
      </c>
      <c r="F29" s="53">
        <f t="shared" si="13"/>
        <v>2.4525809353276272E-3</v>
      </c>
      <c r="G29" s="53">
        <f t="shared" si="13"/>
        <v>2.4525809353276272E-3</v>
      </c>
      <c r="H29" s="53">
        <f t="shared" si="13"/>
        <v>2.4525809353276272E-3</v>
      </c>
      <c r="J29" t="s">
        <v>19</v>
      </c>
    </row>
    <row r="30" spans="1:14" x14ac:dyDescent="0.3">
      <c r="B30" s="41"/>
      <c r="C30" s="66"/>
      <c r="D30" s="8"/>
      <c r="E30" s="8"/>
      <c r="F30" s="8"/>
      <c r="G30" s="8"/>
      <c r="H30" s="8"/>
    </row>
    <row r="31" spans="1:14" x14ac:dyDescent="0.3">
      <c r="A31" t="s">
        <v>29</v>
      </c>
      <c r="B31" s="41" t="s">
        <v>30</v>
      </c>
      <c r="C31" s="66" t="s">
        <v>31</v>
      </c>
      <c r="D31" s="8"/>
      <c r="E31" s="8" t="s">
        <v>30</v>
      </c>
      <c r="F31" s="8" t="s">
        <v>30</v>
      </c>
      <c r="G31" s="8" t="s">
        <v>31</v>
      </c>
      <c r="H31" s="8" t="s">
        <v>31</v>
      </c>
    </row>
    <row r="32" spans="1:14" x14ac:dyDescent="0.3">
      <c r="A32" t="s">
        <v>32</v>
      </c>
      <c r="B32" s="43">
        <v>22.5167</v>
      </c>
      <c r="C32" s="68">
        <f>1000*C37*SQRT(C35)</f>
        <v>100000</v>
      </c>
      <c r="D32" s="17"/>
      <c r="E32" s="17">
        <v>22.5167</v>
      </c>
      <c r="F32" s="17">
        <v>22.5167</v>
      </c>
      <c r="G32" s="17">
        <f>1000*G37*SQRT(G35)</f>
        <v>100000</v>
      </c>
      <c r="H32" s="17">
        <f>1000*H37*SQRT(H35)</f>
        <v>100000</v>
      </c>
      <c r="K32" s="8" t="s">
        <v>30</v>
      </c>
      <c r="L32" s="8" t="s">
        <v>31</v>
      </c>
    </row>
    <row r="33" spans="1:12" ht="28.8" customHeight="1" x14ac:dyDescent="0.3">
      <c r="A33" t="s">
        <v>33</v>
      </c>
      <c r="B33" s="44">
        <f t="shared" ref="B33:H33" si="14">SQRT((B32/1000)^2*LN(B9/B8))</f>
        <v>4.1812382921966061E-2</v>
      </c>
      <c r="C33" s="69">
        <f>SQRT((C32/1000)^2*LN(C9/C8))</f>
        <v>185.69498604132067</v>
      </c>
      <c r="D33" s="21"/>
      <c r="E33" s="20">
        <f t="shared" si="14"/>
        <v>4.1812382921966061E-2</v>
      </c>
      <c r="F33" s="20">
        <f t="shared" si="14"/>
        <v>4.1812382921966061E-2</v>
      </c>
      <c r="G33" s="21">
        <f t="shared" si="14"/>
        <v>185.69498604132067</v>
      </c>
      <c r="H33" s="21">
        <f t="shared" si="14"/>
        <v>185.69498604132067</v>
      </c>
      <c r="K33" s="17">
        <v>22.5167</v>
      </c>
      <c r="L33" s="17">
        <f>1000*L38*SQRT(L36)</f>
        <v>100000</v>
      </c>
    </row>
    <row r="34" spans="1:12" ht="28.8" customHeight="1" x14ac:dyDescent="0.3">
      <c r="B34" s="45"/>
      <c r="C34" s="70"/>
      <c r="D34" s="19"/>
      <c r="E34" s="19"/>
      <c r="F34" s="19"/>
      <c r="G34" s="19"/>
      <c r="H34" s="19"/>
      <c r="K34" s="20">
        <f>SQRT((K33/1000)^2*LN(K10/K9))</f>
        <v>1.9205583659552449E-2</v>
      </c>
      <c r="L34" s="21" t="e">
        <f>SQRT((L33/1000)^2*LN(L10/L9))</f>
        <v>#DIV/0!</v>
      </c>
    </row>
    <row r="35" spans="1:12" x14ac:dyDescent="0.3">
      <c r="A35" t="s">
        <v>34</v>
      </c>
      <c r="B35" s="33">
        <v>1</v>
      </c>
      <c r="C35" s="58">
        <v>1</v>
      </c>
      <c r="E35">
        <v>1</v>
      </c>
      <c r="F35">
        <v>1</v>
      </c>
      <c r="G35">
        <v>1</v>
      </c>
      <c r="H35">
        <v>1</v>
      </c>
      <c r="K35" s="19"/>
      <c r="L35" s="19"/>
    </row>
    <row r="36" spans="1:12" ht="57.6" customHeight="1" x14ac:dyDescent="0.3">
      <c r="A36" t="s">
        <v>35</v>
      </c>
      <c r="B36" s="46" t="s">
        <v>36</v>
      </c>
      <c r="C36" s="71" t="s">
        <v>37</v>
      </c>
      <c r="D36" s="4"/>
      <c r="E36" s="4" t="s">
        <v>36</v>
      </c>
      <c r="F36" s="4" t="s">
        <v>36</v>
      </c>
      <c r="G36" s="4" t="s">
        <v>37</v>
      </c>
      <c r="H36" s="4" t="s">
        <v>37</v>
      </c>
      <c r="K36">
        <v>1</v>
      </c>
      <c r="L36">
        <v>1</v>
      </c>
    </row>
    <row r="37" spans="1:12" ht="86.4" x14ac:dyDescent="0.3">
      <c r="A37" t="s">
        <v>38</v>
      </c>
      <c r="B37" s="47">
        <f>(B32/1000)/SQRT(B35)</f>
        <v>2.2516700000000001E-2</v>
      </c>
      <c r="C37" s="72">
        <v>100</v>
      </c>
      <c r="D37" s="18"/>
      <c r="E37" s="18">
        <f>(E32/1000)/SQRT(E35)</f>
        <v>2.2516700000000001E-2</v>
      </c>
      <c r="F37" s="18">
        <f>(F32/1000)/SQRT(F35)</f>
        <v>2.2516700000000001E-2</v>
      </c>
      <c r="G37" s="18">
        <v>100</v>
      </c>
      <c r="H37" s="18">
        <v>100</v>
      </c>
      <c r="K37" s="4" t="s">
        <v>36</v>
      </c>
      <c r="L37" s="4" t="s">
        <v>37</v>
      </c>
    </row>
    <row r="38" spans="1:12" x14ac:dyDescent="0.3">
      <c r="A38" t="s">
        <v>39</v>
      </c>
      <c r="B38" s="48">
        <f t="shared" ref="B38:H38" si="15">1000*B37</f>
        <v>22.5167</v>
      </c>
      <c r="C38" s="73">
        <f>1000*C37</f>
        <v>100000</v>
      </c>
      <c r="D38" s="22"/>
      <c r="E38" s="22">
        <f t="shared" si="15"/>
        <v>22.5167</v>
      </c>
      <c r="F38" s="22">
        <f t="shared" si="15"/>
        <v>22.5167</v>
      </c>
      <c r="G38" s="22">
        <f t="shared" si="15"/>
        <v>100000</v>
      </c>
      <c r="H38" s="22">
        <f t="shared" si="15"/>
        <v>100000</v>
      </c>
      <c r="K38" s="18">
        <f>(K33/1000)/SQRT(K36)</f>
        <v>2.2516700000000001E-2</v>
      </c>
      <c r="L38" s="18">
        <v>100</v>
      </c>
    </row>
    <row r="39" spans="1:12" x14ac:dyDescent="0.3">
      <c r="B39" s="43"/>
      <c r="C39" s="68"/>
      <c r="D39" s="17"/>
      <c r="E39" s="17"/>
      <c r="F39" s="17"/>
      <c r="G39" s="17"/>
      <c r="H39" s="17"/>
      <c r="K39" s="17">
        <f>1000*K38</f>
        <v>22.5167</v>
      </c>
      <c r="L39" s="17">
        <f>1000*L38</f>
        <v>100000</v>
      </c>
    </row>
    <row r="40" spans="1:12" x14ac:dyDescent="0.3">
      <c r="A40" s="4" t="s">
        <v>40</v>
      </c>
      <c r="B40" s="49">
        <f t="shared" ref="B40:H40" si="16">B14/B33</f>
        <v>169.11420296379958</v>
      </c>
      <c r="C40" s="74">
        <f>C14/C33</f>
        <v>3.8078937738749867</v>
      </c>
      <c r="D40" s="27"/>
      <c r="E40" s="25">
        <f t="shared" si="16"/>
        <v>16.911420296379955</v>
      </c>
      <c r="F40" s="25">
        <f t="shared" si="16"/>
        <v>1.691142029637996</v>
      </c>
      <c r="G40" s="26">
        <f t="shared" si="16"/>
        <v>3.8078937738749867E-2</v>
      </c>
      <c r="H40" s="24">
        <f t="shared" si="16"/>
        <v>380.78937738749863</v>
      </c>
    </row>
    <row r="41" spans="1:12" x14ac:dyDescent="0.3">
      <c r="A41" s="4" t="s">
        <v>47</v>
      </c>
      <c r="B41" s="50">
        <f t="shared" ref="B41:H41" si="17">B37*B40</f>
        <v>3.8078937738749863</v>
      </c>
      <c r="C41" s="75">
        <f>C37*C40</f>
        <v>380.78937738749869</v>
      </c>
      <c r="D41" s="23"/>
      <c r="E41" s="6">
        <f t="shared" si="17"/>
        <v>0.38078937738749852</v>
      </c>
      <c r="F41" s="6">
        <f t="shared" si="17"/>
        <v>3.8078937738749867E-2</v>
      </c>
      <c r="G41" s="23">
        <f t="shared" si="17"/>
        <v>3.8078937738749867</v>
      </c>
      <c r="H41" s="23">
        <f t="shared" si="17"/>
        <v>38078.937738749861</v>
      </c>
    </row>
    <row r="42" spans="1:12" ht="15" thickBot="1" x14ac:dyDescent="0.35">
      <c r="A42" s="4" t="s">
        <v>53</v>
      </c>
      <c r="B42" s="76">
        <f>B14/SQRT(B15)</f>
        <v>76.890582439195114</v>
      </c>
      <c r="C42" s="77">
        <f>C14/SQRT(C15)</f>
        <v>7689.0582439195114</v>
      </c>
      <c r="D42" s="23"/>
      <c r="E42" s="23">
        <f>E14/SQRT(E15)</f>
        <v>7.6890582439195105</v>
      </c>
      <c r="F42" s="23">
        <f t="shared" ref="F42:H42" si="18">F14/SQRT(F15)</f>
        <v>0.76890582439195132</v>
      </c>
      <c r="G42" s="23">
        <f t="shared" si="18"/>
        <v>76.890582439195114</v>
      </c>
      <c r="H42" s="23">
        <f t="shared" si="18"/>
        <v>768905.82439195109</v>
      </c>
    </row>
    <row r="43" spans="1:12" x14ac:dyDescent="0.3">
      <c r="A43" s="4" t="s">
        <v>41</v>
      </c>
    </row>
    <row r="44" spans="1:12" ht="28.8" customHeight="1" x14ac:dyDescent="0.3">
      <c r="A44" s="4" t="s">
        <v>42</v>
      </c>
    </row>
    <row r="45" spans="1:12" x14ac:dyDescent="0.3">
      <c r="A45" s="4" t="s">
        <v>43</v>
      </c>
    </row>
    <row r="46" spans="1:12" x14ac:dyDescent="0.3">
      <c r="A46" s="4" t="s">
        <v>44</v>
      </c>
    </row>
    <row r="47" spans="1:12" x14ac:dyDescent="0.3">
      <c r="A47" t="s">
        <v>45</v>
      </c>
    </row>
    <row r="48" spans="1:12" x14ac:dyDescent="0.3">
      <c r="A48" t="s">
        <v>46</v>
      </c>
    </row>
    <row r="49" spans="1:1" x14ac:dyDescent="0.3">
      <c r="A49" s="4"/>
    </row>
    <row r="50" spans="1:1" x14ac:dyDescent="0.3">
      <c r="A50" s="4"/>
    </row>
  </sheetData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Lindeman, Mark A (US 365H)</cp:lastModifiedBy>
  <dcterms:created xsi:type="dcterms:W3CDTF">2026-02-10T23:36:22Z</dcterms:created>
  <dcterms:modified xsi:type="dcterms:W3CDTF">2026-02-23T20:16:55Z</dcterms:modified>
</cp:coreProperties>
</file>