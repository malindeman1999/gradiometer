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deman\OneDrive - JPL\Documents\Python\gradiometer\noise\"/>
    </mc:Choice>
  </mc:AlternateContent>
  <xr:revisionPtr revIDLastSave="0" documentId="13_ncr:1_{098B2284-AF7F-46D7-BDF8-D933E03BB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6" i="1"/>
  <c r="D25" i="1"/>
  <c r="C25" i="1"/>
  <c r="B25" i="1"/>
  <c r="B26" i="1" s="1"/>
  <c r="B15" i="1"/>
  <c r="B31" i="1" s="1"/>
  <c r="D12" i="1"/>
  <c r="D13" i="1" s="1"/>
  <c r="D14" i="1" s="1"/>
  <c r="C12" i="1"/>
  <c r="C13" i="1" s="1"/>
  <c r="C14" i="1" s="1"/>
  <c r="B12" i="1"/>
  <c r="B13" i="1" s="1"/>
  <c r="B14" i="1" s="1"/>
  <c r="D9" i="1"/>
  <c r="D15" i="1" s="1"/>
  <c r="D31" i="1" s="1"/>
  <c r="C9" i="1"/>
  <c r="C15" i="1" s="1"/>
  <c r="C31" i="1" s="1"/>
  <c r="B9" i="1"/>
  <c r="D8" i="1"/>
  <c r="C8" i="1"/>
  <c r="B8" i="1"/>
  <c r="B30" i="1" s="1"/>
  <c r="B27" i="1" l="1"/>
  <c r="C17" i="1"/>
  <c r="C27" i="1"/>
  <c r="D26" i="1"/>
  <c r="D27" i="1"/>
  <c r="C39" i="1"/>
  <c r="C40" i="1" s="1"/>
  <c r="D35" i="1"/>
  <c r="D39" i="1"/>
  <c r="D40" i="1" s="1"/>
  <c r="B35" i="1"/>
  <c r="C35" i="1"/>
  <c r="B39" i="1"/>
  <c r="B40" i="1" s="1"/>
  <c r="B16" i="1"/>
  <c r="B32" i="1" s="1"/>
  <c r="B36" i="1" s="1"/>
  <c r="B29" i="1"/>
  <c r="C16" i="1"/>
  <c r="C32" i="1" s="1"/>
  <c r="C36" i="1" s="1"/>
  <c r="C29" i="1"/>
  <c r="D16" i="1"/>
  <c r="D32" i="1" s="1"/>
  <c r="D36" i="1" s="1"/>
  <c r="D29" i="1"/>
  <c r="B17" i="1"/>
  <c r="D30" i="1"/>
  <c r="D17" i="1"/>
  <c r="C30" i="1"/>
  <c r="C26" i="1"/>
  <c r="D43" i="1" l="1"/>
  <c r="C43" i="1"/>
  <c r="B43" i="1"/>
  <c r="B45" i="1" l="1"/>
  <c r="B46" i="1" s="1"/>
  <c r="B44" i="1"/>
  <c r="C45" i="1"/>
  <c r="C46" i="1" s="1"/>
  <c r="C44" i="1"/>
  <c r="D45" i="1"/>
  <c r="D46" i="1" s="1"/>
  <c r="D44" i="1"/>
</calcChain>
</file>

<file path=xl/sharedStrings.xml><?xml version="1.0" encoding="utf-8"?>
<sst xmlns="http://schemas.openxmlformats.org/spreadsheetml/2006/main" count="65" uniqueCount="58">
  <si>
    <t>Gradiometer Noise Calculator</t>
  </si>
  <si>
    <t>Inputs</t>
  </si>
  <si>
    <t>1 m gradiometer, SQUID</t>
  </si>
  <si>
    <t>1  km gradiometer flux gate</t>
  </si>
  <si>
    <t>Coefficient lookup (from central-difference stencils)</t>
  </si>
  <si>
    <t>Gradiometer length L [m]</t>
  </si>
  <si>
    <t>N</t>
  </si>
  <si>
    <t>sum(c_i^2)</t>
  </si>
  <si>
    <t>Number of sensors / points N</t>
  </si>
  <si>
    <t>Output quantity (gradient or difference)</t>
  </si>
  <si>
    <t>gradient</t>
  </si>
  <si>
    <t>Required gradiometer RMS [pT/m if gradient, pT if difference]</t>
  </si>
  <si>
    <t>Band low f_low [Hz]</t>
  </si>
  <si>
    <t>Band high f_high [Hz]</t>
  </si>
  <si>
    <t>Computed</t>
  </si>
  <si>
    <t>Lookup sum(c_i^2) from N</t>
  </si>
  <si>
    <t>weight_sq_sum = output_variance / sensor_variance</t>
  </si>
  <si>
    <t>Required sensor RMS [pT]</t>
  </si>
  <si>
    <t>Bandwidth Delta_f [Hz]</t>
  </si>
  <si>
    <t>ln(f_high/f_low)</t>
  </si>
  <si>
    <t>Band validity check</t>
  </si>
  <si>
    <t>Sensor Properties</t>
  </si>
  <si>
    <t>Sensor</t>
  </si>
  <si>
    <t>HTS SQUID</t>
  </si>
  <si>
    <t>Fluxgate</t>
  </si>
  <si>
    <t>reference for noise</t>
  </si>
  <si>
    <t>Cantor et al IEEE TRANSACTIONS ON APPLIED SUPERCONDUCTIVITY, VOL. 5, NO. 2, JUNE 1995</t>
  </si>
  <si>
    <t>Kivelson  Space Science Reviews (2023) 219:48</t>
  </si>
  <si>
    <t>Sensor white noise [pT/sqrt(Hz)]</t>
  </si>
  <si>
    <t>Sensor 1/f noise at 1 Hz [pT/sqrt(Hz)]</t>
  </si>
  <si>
    <t>Assume PSD(f) = K/f, ASD = SQRT(K/f)</t>
  </si>
  <si>
    <t>K [pT^2]</t>
  </si>
  <si>
    <t>Sensor ASD at arithmetic band center [pT/sqrt(Hz)]</t>
  </si>
  <si>
    <t>Optional RMS estimate [pT]</t>
  </si>
  <si>
    <t>ratio</t>
  </si>
  <si>
    <t>Arithmetic center frequency f_c,arith [Hz]</t>
  </si>
  <si>
    <t>Sensor ASD at geometric band center [pT/sqrt(Hz)]</t>
  </si>
  <si>
    <t>Geometric center frequency f_c,geom [Hz]</t>
  </si>
  <si>
    <t>Sensor RMS white noise over band [pT]</t>
  </si>
  <si>
    <t>Sensor RMS 1/f noise over band [pT]</t>
  </si>
  <si>
    <t>Ratio to required RMS</t>
  </si>
  <si>
    <t>White noise RMS ratio</t>
  </si>
  <si>
    <t>1/f RMS ratio</t>
  </si>
  <si>
    <t>White noise requirements to get the required sensor RMS in band</t>
  </si>
  <si>
    <t>White noise must be less than [pT/root Hz]</t>
  </si>
  <si>
    <t>White noise at 1 Hz ratio &lt;1</t>
  </si>
  <si>
    <t>1/f noise requirements to get the required sensor RMS in band</t>
  </si>
  <si>
    <t xml:space="preserve">K must be less  than  [pT^2]  </t>
  </si>
  <si>
    <t>K ratio &lt;1</t>
  </si>
  <si>
    <t>1/f at 1 Hz must be less than</t>
  </si>
  <si>
    <t>1/f @ 1Hz ratio &lt;1</t>
  </si>
  <si>
    <t>Notes:</t>
  </si>
  <si>
    <t>- N lookup table is precomputed using solar_wind_functions.central_difference_coefficients.</t>
  </si>
  <si>
    <t>- For N not in lookup, add rows in columns E:F (or set B12:D12 manually).</t>
  </si>
  <si>
    <t>- Band center frequencies are listed below each center-ASD pair.</t>
  </si>
  <si>
    <t>- The 1/f ASD model: ASD(f) = SQRT(K/f), ASD is in pT/sqrt(Hz); PSD = K/f [pT^2/Hz].</t>
  </si>
  <si>
    <t>- Integrated 1/f RMS over [f_low, f_high]: RMS = SQRT(K*LN(f_high/f_low)) [pT].</t>
  </si>
  <si>
    <t>10 m gradiometer, Flux gate, rotating at 10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</si>
</sst>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00000"/>
    <numFmt numFmtId="167" formatCode="0.000000E+00"/>
    <numFmt numFmtId="168" formatCode="0.0"/>
    <numFmt numFmtId="169" formatCode="0.00000"/>
    <numFmt numFmtId="170" formatCode="0.000000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3" borderId="0"/>
  </cellStyleXfs>
  <cellXfs count="6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1" fontId="3" fillId="2" borderId="1" xfId="0" applyNumberFormat="1" applyFont="1" applyFill="1" applyBorder="1"/>
    <xf numFmtId="165" fontId="0" fillId="0" borderId="1" xfId="0" applyNumberFormat="1" applyBorder="1"/>
    <xf numFmtId="165" fontId="0" fillId="0" borderId="2" xfId="0" applyNumberFormat="1" applyBorder="1"/>
    <xf numFmtId="166" fontId="4" fillId="0" borderId="1" xfId="1" applyNumberFormat="1" applyFill="1" applyBorder="1"/>
    <xf numFmtId="1" fontId="3" fillId="0" borderId="0" xfId="0" applyNumberFormat="1" applyFont="1"/>
    <xf numFmtId="165" fontId="0" fillId="0" borderId="0" xfId="0" applyNumberFormat="1"/>
    <xf numFmtId="166" fontId="5" fillId="0" borderId="0" xfId="1" applyNumberFormat="1" applyFont="1" applyFill="1"/>
    <xf numFmtId="167" fontId="5" fillId="0" borderId="0" xfId="1" applyNumberFormat="1" applyFont="1" applyFill="1"/>
    <xf numFmtId="166" fontId="0" fillId="0" borderId="0" xfId="0" applyNumberFormat="1"/>
    <xf numFmtId="0" fontId="0" fillId="4" borderId="3" xfId="0" applyFill="1" applyBorder="1"/>
    <xf numFmtId="1" fontId="0" fillId="4" borderId="3" xfId="0" applyNumberFormat="1" applyFill="1" applyBorder="1"/>
    <xf numFmtId="1" fontId="3" fillId="4" borderId="3" xfId="0" applyNumberFormat="1" applyFont="1" applyFill="1" applyBorder="1"/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164" fontId="0" fillId="4" borderId="3" xfId="0" applyNumberFormat="1" applyFill="1" applyBorder="1"/>
    <xf numFmtId="11" fontId="0" fillId="4" borderId="3" xfId="0" applyNumberFormat="1" applyFill="1" applyBorder="1"/>
    <xf numFmtId="165" fontId="0" fillId="4" borderId="3" xfId="0" applyNumberFormat="1" applyFill="1" applyBorder="1"/>
    <xf numFmtId="0" fontId="2" fillId="5" borderId="3" xfId="0" applyFont="1" applyFill="1" applyBorder="1"/>
    <xf numFmtId="0" fontId="0" fillId="5" borderId="3" xfId="0" applyFill="1" applyBorder="1"/>
    <xf numFmtId="0" fontId="3" fillId="5" borderId="3" xfId="0" applyFont="1" applyFill="1" applyBorder="1"/>
    <xf numFmtId="167" fontId="0" fillId="5" borderId="3" xfId="0" applyNumberFormat="1" applyFill="1" applyBorder="1"/>
    <xf numFmtId="0" fontId="0" fillId="6" borderId="3" xfId="0" applyFill="1" applyBorder="1"/>
    <xf numFmtId="168" fontId="0" fillId="6" borderId="3" xfId="0" applyNumberFormat="1" applyFill="1" applyBorder="1"/>
    <xf numFmtId="164" fontId="0" fillId="6" borderId="3" xfId="0" applyNumberFormat="1" applyFill="1" applyBorder="1"/>
    <xf numFmtId="0" fontId="3" fillId="6" borderId="3" xfId="0" applyFont="1" applyFill="1" applyBorder="1"/>
    <xf numFmtId="168" fontId="3" fillId="6" borderId="3" xfId="0" applyNumberFormat="1" applyFont="1" applyFill="1" applyBorder="1"/>
    <xf numFmtId="0" fontId="0" fillId="7" borderId="3" xfId="0" applyFill="1" applyBorder="1"/>
    <xf numFmtId="1" fontId="3" fillId="7" borderId="3" xfId="0" applyNumberFormat="1" applyFont="1" applyFill="1" applyBorder="1"/>
    <xf numFmtId="0" fontId="2" fillId="6" borderId="3" xfId="0" applyFont="1" applyFill="1" applyBorder="1"/>
    <xf numFmtId="0" fontId="3" fillId="4" borderId="3" xfId="0" applyFont="1" applyFill="1" applyBorder="1"/>
    <xf numFmtId="0" fontId="6" fillId="4" borderId="3" xfId="0" applyFont="1" applyFill="1" applyBorder="1"/>
    <xf numFmtId="0" fontId="0" fillId="8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166" fontId="7" fillId="9" borderId="0" xfId="1" applyNumberFormat="1" applyFont="1" applyFill="1"/>
    <xf numFmtId="0" fontId="8" fillId="10" borderId="3" xfId="0" applyFont="1" applyFill="1" applyBorder="1"/>
    <xf numFmtId="166" fontId="9" fillId="10" borderId="3" xfId="1" applyNumberFormat="1" applyFont="1" applyFill="1" applyBorder="1"/>
    <xf numFmtId="169" fontId="7" fillId="10" borderId="3" xfId="1" applyNumberFormat="1" applyFont="1" applyFill="1" applyBorder="1"/>
    <xf numFmtId="169" fontId="7" fillId="7" borderId="3" xfId="0" applyNumberFormat="1" applyFont="1" applyFill="1" applyBorder="1"/>
    <xf numFmtId="169" fontId="0" fillId="4" borderId="3" xfId="0" applyNumberFormat="1" applyFill="1" applyBorder="1"/>
    <xf numFmtId="165" fontId="7" fillId="7" borderId="3" xfId="1" applyNumberFormat="1" applyFont="1" applyFill="1" applyBorder="1"/>
    <xf numFmtId="165" fontId="7" fillId="8" borderId="1" xfId="0" applyNumberFormat="1" applyFont="1" applyFill="1" applyBorder="1"/>
    <xf numFmtId="0" fontId="0" fillId="0" borderId="0" xfId="0" quotePrefix="1"/>
    <xf numFmtId="168" fontId="0" fillId="8" borderId="1" xfId="0" applyNumberFormat="1" applyFill="1" applyBorder="1"/>
    <xf numFmtId="165" fontId="10" fillId="7" borderId="3" xfId="1" applyNumberFormat="1" applyFont="1" applyFill="1" applyBorder="1"/>
    <xf numFmtId="165" fontId="10" fillId="8" borderId="1" xfId="0" applyNumberFormat="1" applyFont="1" applyFill="1" applyBorder="1"/>
    <xf numFmtId="1" fontId="0" fillId="9" borderId="0" xfId="0" applyNumberFormat="1" applyFill="1" applyBorder="1"/>
    <xf numFmtId="0" fontId="3" fillId="9" borderId="4" xfId="0" applyFont="1" applyFill="1" applyBorder="1"/>
    <xf numFmtId="0" fontId="0" fillId="6" borderId="3" xfId="0" applyFont="1" applyFill="1" applyBorder="1"/>
    <xf numFmtId="1" fontId="0" fillId="6" borderId="3" xfId="0" applyNumberFormat="1" applyFont="1" applyFill="1" applyBorder="1" applyAlignment="1">
      <alignment horizontal="center"/>
    </xf>
    <xf numFmtId="0" fontId="9" fillId="10" borderId="3" xfId="0" applyFont="1" applyFill="1" applyBorder="1"/>
    <xf numFmtId="0" fontId="3" fillId="8" borderId="0" xfId="0" applyFont="1" applyFill="1"/>
    <xf numFmtId="166" fontId="0" fillId="8" borderId="1" xfId="0" applyNumberFormat="1" applyFont="1" applyFill="1" applyBorder="1"/>
    <xf numFmtId="170" fontId="0" fillId="8" borderId="1" xfId="0" applyNumberFormat="1" applyFont="1" applyFill="1" applyBorder="1"/>
    <xf numFmtId="2" fontId="0" fillId="8" borderId="1" xfId="0" applyNumberFormat="1" applyFill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434340</xdr:colOff>
      <xdr:row>3</xdr:row>
      <xdr:rowOff>85725</xdr:rowOff>
    </xdr:from>
    <xdr:to>
      <xdr:col>19</xdr:col>
      <xdr:colOff>491970</xdr:colOff>
      <xdr:row>30</xdr:row>
      <xdr:rowOff>72783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5440" y="676275"/>
          <a:ext cx="5544030" cy="452095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563880</xdr:colOff>
      <xdr:row>42</xdr:row>
      <xdr:rowOff>38100</xdr:rowOff>
    </xdr:from>
    <xdr:to>
      <xdr:col>20</xdr:col>
      <xdr:colOff>168186</xdr:colOff>
      <xdr:row>47</xdr:row>
      <xdr:rowOff>59136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60930" y="6791325"/>
          <a:ext cx="6302286" cy="92210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pane ySplit="3" topLeftCell="A13" activePane="bottomLeft" state="frozen"/>
      <selection pane="bottomLeft" activeCell="D39" sqref="D39"/>
    </sheetView>
  </sheetViews>
  <sheetFormatPr defaultRowHeight="14.4" x14ac:dyDescent="0.3"/>
  <cols>
    <col min="1" max="1" width="80.6640625" customWidth="1"/>
    <col min="2" max="2" width="28" customWidth="1"/>
    <col min="3" max="3" width="25.44140625" customWidth="1"/>
    <col min="4" max="4" width="39.44140625" customWidth="1"/>
    <col min="5" max="5" width="18.109375" customWidth="1"/>
    <col min="6" max="6" width="18" customWidth="1"/>
    <col min="7" max="7" width="14.44140625" customWidth="1"/>
  </cols>
  <sheetData>
    <row r="1" spans="1:6" ht="18" customHeight="1" x14ac:dyDescent="0.35">
      <c r="A1" s="3" t="s">
        <v>0</v>
      </c>
    </row>
    <row r="3" spans="1:6" x14ac:dyDescent="0.3">
      <c r="A3" s="24" t="s">
        <v>1</v>
      </c>
      <c r="B3" s="25" t="s">
        <v>2</v>
      </c>
      <c r="C3" s="25" t="s">
        <v>3</v>
      </c>
      <c r="D3" s="25" t="s">
        <v>57</v>
      </c>
      <c r="E3" s="1" t="s">
        <v>4</v>
      </c>
    </row>
    <row r="4" spans="1:6" x14ac:dyDescent="0.3">
      <c r="A4" s="25" t="s">
        <v>5</v>
      </c>
      <c r="B4" s="25">
        <v>1</v>
      </c>
      <c r="C4" s="25">
        <v>1000</v>
      </c>
      <c r="D4" s="25">
        <v>10</v>
      </c>
      <c r="E4" s="1" t="s">
        <v>6</v>
      </c>
      <c r="F4" s="1" t="s">
        <v>7</v>
      </c>
    </row>
    <row r="5" spans="1:6" x14ac:dyDescent="0.3">
      <c r="A5" s="25" t="s">
        <v>8</v>
      </c>
      <c r="B5" s="25">
        <v>2</v>
      </c>
      <c r="C5" s="25">
        <v>2</v>
      </c>
      <c r="D5" s="25">
        <v>2</v>
      </c>
      <c r="E5">
        <v>1</v>
      </c>
      <c r="F5">
        <v>1</v>
      </c>
    </row>
    <row r="6" spans="1:6" x14ac:dyDescent="0.3">
      <c r="A6" s="25" t="s">
        <v>9</v>
      </c>
      <c r="B6" s="25" t="s">
        <v>10</v>
      </c>
      <c r="C6" s="25" t="s">
        <v>10</v>
      </c>
      <c r="D6" s="25" t="s">
        <v>10</v>
      </c>
      <c r="E6">
        <v>2</v>
      </c>
      <c r="F6">
        <v>2</v>
      </c>
    </row>
    <row r="7" spans="1:6" x14ac:dyDescent="0.3">
      <c r="A7" s="26" t="s">
        <v>11</v>
      </c>
      <c r="B7" s="26">
        <v>1</v>
      </c>
      <c r="C7" s="26">
        <v>1</v>
      </c>
      <c r="D7" s="26">
        <v>1</v>
      </c>
      <c r="E7">
        <v>3</v>
      </c>
      <c r="F7">
        <v>2</v>
      </c>
    </row>
    <row r="8" spans="1:6" x14ac:dyDescent="0.3">
      <c r="A8" s="25" t="s">
        <v>12</v>
      </c>
      <c r="B8" s="27">
        <f>1/3600</f>
        <v>2.7777777777777778E-4</v>
      </c>
      <c r="C8" s="27">
        <f>1/3600</f>
        <v>2.7777777777777778E-4</v>
      </c>
      <c r="D8" s="27">
        <f>1/3600</f>
        <v>2.7777777777777778E-4</v>
      </c>
      <c r="E8">
        <v>5</v>
      </c>
      <c r="F8">
        <v>14.444444444444439</v>
      </c>
    </row>
    <row r="9" spans="1:6" x14ac:dyDescent="0.3">
      <c r="A9" s="25" t="s">
        <v>13</v>
      </c>
      <c r="B9" s="27">
        <f>1/114.483</f>
        <v>8.7349213420333145E-3</v>
      </c>
      <c r="C9" s="27">
        <f>1/114.483</f>
        <v>8.7349213420333145E-3</v>
      </c>
      <c r="D9" s="27">
        <f>1/114.483</f>
        <v>8.7349213420333145E-3</v>
      </c>
      <c r="E9">
        <v>7</v>
      </c>
      <c r="F9">
        <v>42.139999999999993</v>
      </c>
    </row>
    <row r="10" spans="1:6" x14ac:dyDescent="0.3">
      <c r="B10" s="4"/>
      <c r="C10" s="5"/>
      <c r="D10" s="4"/>
      <c r="E10">
        <v>9</v>
      </c>
      <c r="F10">
        <v>87.227392290249398</v>
      </c>
    </row>
    <row r="11" spans="1:6" x14ac:dyDescent="0.3">
      <c r="A11" s="35" t="s">
        <v>14</v>
      </c>
      <c r="B11" s="28"/>
      <c r="C11" s="28"/>
      <c r="D11" s="28"/>
      <c r="E11">
        <v>11</v>
      </c>
      <c r="F11">
        <v>150.95518392542391</v>
      </c>
    </row>
    <row r="12" spans="1:6" x14ac:dyDescent="0.3">
      <c r="A12" s="28" t="s">
        <v>15</v>
      </c>
      <c r="B12" s="29">
        <f>IFERROR(_xlfn.SINGLE(_xlfn.XLOOKUP(B5,$E$5:$E$32,$F$5:$F$32)),NA())</f>
        <v>2</v>
      </c>
      <c r="C12" s="29">
        <f>IFERROR(_xlfn.SINGLE(_xlfn.XLOOKUP(C5,$E$5:$E$32,$F$5:$F$32)),NA())</f>
        <v>2</v>
      </c>
      <c r="D12" s="29">
        <f>IFERROR(_xlfn.SINGLE(_xlfn.XLOOKUP(D5,$E$5:$E$32,$F$5:$F$32)),NA())</f>
        <v>2</v>
      </c>
    </row>
    <row r="13" spans="1:6" x14ac:dyDescent="0.3">
      <c r="A13" s="28" t="s">
        <v>16</v>
      </c>
      <c r="B13" s="30">
        <f>IF(B6="gradient",B12/(B4^2),B12)</f>
        <v>2</v>
      </c>
      <c r="C13" s="30">
        <f>IF(C6="gradient",C12/(C4^2),C12)</f>
        <v>1.9999999999999999E-6</v>
      </c>
      <c r="D13" s="30">
        <f>IF(D6="gradient",D12/(D4^2),D12)</f>
        <v>0.02</v>
      </c>
    </row>
    <row r="14" spans="1:6" x14ac:dyDescent="0.3">
      <c r="A14" s="31" t="s">
        <v>17</v>
      </c>
      <c r="B14" s="32">
        <f>B7/SQRT(B13)</f>
        <v>0.70710678118654746</v>
      </c>
      <c r="C14" s="32">
        <f>C7/SQRT(C13)</f>
        <v>707.10678118654755</v>
      </c>
      <c r="D14" s="32">
        <f>D7/SQRT(D13)</f>
        <v>7.0710678118654755</v>
      </c>
    </row>
    <row r="15" spans="1:6" x14ac:dyDescent="0.3">
      <c r="A15" s="28" t="s">
        <v>18</v>
      </c>
      <c r="B15" s="30">
        <f>B9-B8</f>
        <v>8.4571435642555367E-3</v>
      </c>
      <c r="C15" s="30">
        <f>C9-C8</f>
        <v>8.4571435642555367E-3</v>
      </c>
      <c r="D15" s="30">
        <f>D9-D8</f>
        <v>8.4571435642555367E-3</v>
      </c>
    </row>
    <row r="16" spans="1:6" x14ac:dyDescent="0.3">
      <c r="A16" s="28" t="s">
        <v>19</v>
      </c>
      <c r="B16" s="30">
        <f>LN(B9/B8)</f>
        <v>3.4482627840886289</v>
      </c>
      <c r="C16" s="30">
        <f>LN(C9/C8)</f>
        <v>3.4482627840886289</v>
      </c>
      <c r="D16" s="30">
        <f>LN(D9/D8)</f>
        <v>3.4482627840886289</v>
      </c>
    </row>
    <row r="17" spans="1:9" x14ac:dyDescent="0.3">
      <c r="A17" s="55" t="s">
        <v>20</v>
      </c>
      <c r="B17" s="56" t="str">
        <f>IF(OR(B8&lt;=0,B9&lt;=0,B9&lt;=B8),"INVALID: require 0&lt;f_low&lt;f_high","OK")</f>
        <v>OK</v>
      </c>
      <c r="C17" s="56" t="str">
        <f>IF(OR(C8&lt;=0,C9&lt;=0,C9&lt;=C8),"INVALID: require 0&lt;f_low&lt;f_high","OK")</f>
        <v>OK</v>
      </c>
      <c r="D17" s="56" t="str">
        <f>IF(OR(D8&lt;=0,D9&lt;=0,D9&lt;=D8),"INVALID: require 0&lt;f_low&lt;f_high","OK")</f>
        <v>OK</v>
      </c>
    </row>
    <row r="18" spans="1:9" s="40" customFormat="1" x14ac:dyDescent="0.3">
      <c r="A18" s="54"/>
      <c r="B18" s="53"/>
      <c r="C18" s="53"/>
      <c r="D18" s="53"/>
    </row>
    <row r="19" spans="1:9" x14ac:dyDescent="0.3">
      <c r="A19" s="36" t="s">
        <v>21</v>
      </c>
      <c r="B19" s="17"/>
      <c r="C19" s="17"/>
      <c r="D19" s="17"/>
    </row>
    <row r="20" spans="1:9" x14ac:dyDescent="0.3">
      <c r="A20" s="16" t="s">
        <v>22</v>
      </c>
      <c r="B20" s="18" t="s">
        <v>23</v>
      </c>
      <c r="C20" s="18" t="s">
        <v>24</v>
      </c>
      <c r="D20" s="18" t="s">
        <v>24</v>
      </c>
    </row>
    <row r="21" spans="1:9" ht="57.6" customHeight="1" x14ac:dyDescent="0.3">
      <c r="A21" s="19" t="s">
        <v>25</v>
      </c>
      <c r="B21" s="20" t="s">
        <v>26</v>
      </c>
      <c r="C21" s="20" t="s">
        <v>27</v>
      </c>
      <c r="D21" s="20" t="s">
        <v>27</v>
      </c>
    </row>
    <row r="22" spans="1:9" x14ac:dyDescent="0.3">
      <c r="A22" s="16" t="s">
        <v>28</v>
      </c>
      <c r="B22" s="21">
        <v>0.02</v>
      </c>
      <c r="C22" s="17">
        <v>50</v>
      </c>
      <c r="D22" s="17">
        <v>50</v>
      </c>
    </row>
    <row r="23" spans="1:9" x14ac:dyDescent="0.3">
      <c r="A23" s="16" t="s">
        <v>29</v>
      </c>
      <c r="B23" s="21">
        <v>2.1999999999999999E-2</v>
      </c>
      <c r="C23" s="17">
        <v>100</v>
      </c>
      <c r="D23" s="17">
        <v>100</v>
      </c>
    </row>
    <row r="24" spans="1:9" x14ac:dyDescent="0.3">
      <c r="A24" s="37" t="s">
        <v>30</v>
      </c>
      <c r="B24" s="21"/>
      <c r="C24" s="21"/>
      <c r="D24" s="21"/>
    </row>
    <row r="25" spans="1:9" x14ac:dyDescent="0.3">
      <c r="A25" s="16" t="s">
        <v>31</v>
      </c>
      <c r="B25" s="22">
        <f>B23^2</f>
        <v>4.8399999999999995E-4</v>
      </c>
      <c r="C25" s="22">
        <f>C23^2</f>
        <v>10000</v>
      </c>
      <c r="D25" s="22">
        <f>D23^2</f>
        <v>10000</v>
      </c>
    </row>
    <row r="26" spans="1:9" hidden="1" x14ac:dyDescent="0.3">
      <c r="A26" s="16" t="s">
        <v>32</v>
      </c>
      <c r="B26" s="17">
        <f>SQRT(B25/((B8+B9)/2))</f>
        <v>0.32772550567781294</v>
      </c>
      <c r="C26" s="17">
        <f>SQRT(C25/((C8+C9)/2))</f>
        <v>1489.6613894446045</v>
      </c>
      <c r="D26" s="17">
        <f>SQRT(D25/((D8+D9)/2))</f>
        <v>1489.6613894446045</v>
      </c>
      <c r="E26" t="s">
        <v>33</v>
      </c>
      <c r="H26" t="s">
        <v>34</v>
      </c>
      <c r="I26" t="str">
        <f>IF(F26="","",F26/$B$14)</f>
        <v/>
      </c>
    </row>
    <row r="27" spans="1:9" hidden="1" x14ac:dyDescent="0.3">
      <c r="A27" s="16" t="s">
        <v>35</v>
      </c>
      <c r="B27" s="23">
        <f>(B8+B9)/2</f>
        <v>4.5063495599055462E-3</v>
      </c>
      <c r="C27" s="23">
        <f>(C8+C9)/2</f>
        <v>4.5063495599055462E-3</v>
      </c>
      <c r="D27" s="23">
        <f>(D8+D9)/2</f>
        <v>4.5063495599055462E-3</v>
      </c>
    </row>
    <row r="28" spans="1:9" hidden="1" x14ac:dyDescent="0.3">
      <c r="A28" s="16"/>
      <c r="B28" s="17"/>
      <c r="C28" s="17"/>
      <c r="D28" s="17"/>
    </row>
    <row r="29" spans="1:9" hidden="1" x14ac:dyDescent="0.3">
      <c r="A29" s="16" t="s">
        <v>36</v>
      </c>
      <c r="B29" s="18">
        <f>SQRT(B25/SQRT(B8*B9))</f>
        <v>0.55742129560089471</v>
      </c>
      <c r="C29" s="18">
        <f>SQRT(C25/SQRT(C8*C9))</f>
        <v>2533.7331618222488</v>
      </c>
      <c r="D29" s="18">
        <f>SQRT(D25/SQRT(D8*D9))</f>
        <v>2533.7331618222488</v>
      </c>
      <c r="E29" t="s">
        <v>33</v>
      </c>
      <c r="H29" t="s">
        <v>34</v>
      </c>
      <c r="I29" t="str">
        <f>IF(F29="","",F29/$B$14)</f>
        <v/>
      </c>
    </row>
    <row r="30" spans="1:9" hidden="1" x14ac:dyDescent="0.3">
      <c r="A30" s="16" t="s">
        <v>37</v>
      </c>
      <c r="B30" s="23">
        <f>SQRT(B8*B9)</f>
        <v>1.5576800183136775E-3</v>
      </c>
      <c r="C30" s="23">
        <f>SQRT(C8*C9)</f>
        <v>1.5576800183136775E-3</v>
      </c>
      <c r="D30" s="23">
        <f>SQRT(D8*D9)</f>
        <v>1.5576800183136775E-3</v>
      </c>
    </row>
    <row r="31" spans="1:9" x14ac:dyDescent="0.3">
      <c r="A31" s="16" t="s">
        <v>38</v>
      </c>
      <c r="B31" s="46">
        <f>B22*SQRT(B15)</f>
        <v>1.8392545842547776E-3</v>
      </c>
      <c r="C31" s="46">
        <f>C22*SQRT(C15)</f>
        <v>4.5981364606369439</v>
      </c>
      <c r="D31" s="46">
        <f>D22*SQRT(D15)</f>
        <v>4.5981364606369439</v>
      </c>
    </row>
    <row r="32" spans="1:9" ht="15" customHeight="1" x14ac:dyDescent="0.3">
      <c r="A32" s="16" t="s">
        <v>39</v>
      </c>
      <c r="B32" s="23">
        <f>SQRT(B25*B16)</f>
        <v>4.0852896929090554E-2</v>
      </c>
      <c r="C32" s="23">
        <f>SQRT(C25*C16)</f>
        <v>185.69498604132067</v>
      </c>
      <c r="D32" s="23">
        <f>SQRT(D25*D16)</f>
        <v>185.69498604132067</v>
      </c>
    </row>
    <row r="33" spans="1:11" x14ac:dyDescent="0.3">
      <c r="B33" s="7"/>
      <c r="C33" s="7"/>
      <c r="D33" s="7"/>
    </row>
    <row r="34" spans="1:11" x14ac:dyDescent="0.3">
      <c r="A34" s="33" t="s">
        <v>40</v>
      </c>
      <c r="B34" s="34"/>
      <c r="C34" s="34"/>
      <c r="D34" s="34"/>
    </row>
    <row r="35" spans="1:11" x14ac:dyDescent="0.3">
      <c r="A35" s="33" t="s">
        <v>41</v>
      </c>
      <c r="B35" s="45">
        <f>B31/B14</f>
        <v>2.601098777709995E-3</v>
      </c>
      <c r="C35" s="45">
        <f>C31/C14</f>
        <v>6.5027469442749865E-3</v>
      </c>
      <c r="D35" s="45">
        <f>D31/D14</f>
        <v>0.65027469442749875</v>
      </c>
      <c r="F35" s="11"/>
      <c r="G35" s="11"/>
    </row>
    <row r="36" spans="1:11" ht="13.2" customHeight="1" x14ac:dyDescent="0.3">
      <c r="A36" s="33" t="s">
        <v>42</v>
      </c>
      <c r="B36" s="47">
        <f>B32/B14</f>
        <v>5.7774720899350034E-2</v>
      </c>
      <c r="C36" s="47">
        <f>C32/C14</f>
        <v>0.26261236772431829</v>
      </c>
      <c r="D36" s="51">
        <f>D32/D14</f>
        <v>26.261236772431825</v>
      </c>
      <c r="F36" s="12"/>
      <c r="G36" s="12"/>
    </row>
    <row r="37" spans="1:11" ht="13.2" customHeight="1" x14ac:dyDescent="0.3">
      <c r="A37" s="40"/>
      <c r="B37" s="41"/>
      <c r="C37" s="41"/>
      <c r="D37" s="41"/>
      <c r="F37" s="12"/>
      <c r="G37" s="12"/>
    </row>
    <row r="38" spans="1:11" ht="13.2" customHeight="1" x14ac:dyDescent="0.3">
      <c r="A38" s="57" t="s">
        <v>43</v>
      </c>
      <c r="B38" s="43"/>
      <c r="C38" s="43"/>
      <c r="D38" s="43"/>
      <c r="F38" s="12"/>
      <c r="G38" s="12"/>
    </row>
    <row r="39" spans="1:11" ht="13.2" customHeight="1" x14ac:dyDescent="0.3">
      <c r="A39" s="42" t="s">
        <v>44</v>
      </c>
      <c r="B39" s="43">
        <f>B14/SQRT(B15)</f>
        <v>7.6890582439195105</v>
      </c>
      <c r="C39" s="43">
        <f>C14/SQRT(C15)</f>
        <v>7689.0582439195114</v>
      </c>
      <c r="D39" s="43">
        <f>D14/SQRT(D15)</f>
        <v>76.890582439195114</v>
      </c>
      <c r="F39" s="12"/>
      <c r="G39" s="12"/>
    </row>
    <row r="40" spans="1:11" ht="13.2" customHeight="1" x14ac:dyDescent="0.3">
      <c r="A40" s="42" t="s">
        <v>45</v>
      </c>
      <c r="B40" s="44">
        <f>B22/B39</f>
        <v>2.601098777709995E-3</v>
      </c>
      <c r="C40" s="44">
        <f>C22/C39</f>
        <v>6.5027469442749865E-3</v>
      </c>
      <c r="D40" s="44">
        <f>D22/D39</f>
        <v>0.65027469442749875</v>
      </c>
      <c r="F40" s="12"/>
      <c r="G40" s="12"/>
    </row>
    <row r="41" spans="1:11" ht="21" customHeight="1" x14ac:dyDescent="0.3">
      <c r="B41" s="10"/>
      <c r="C41" s="10"/>
      <c r="D41" s="10"/>
      <c r="F41" s="13"/>
      <c r="G41" s="14"/>
      <c r="K41" t="s">
        <v>27</v>
      </c>
    </row>
    <row r="42" spans="1:11" x14ac:dyDescent="0.3">
      <c r="A42" s="58" t="s">
        <v>46</v>
      </c>
      <c r="B42" s="38"/>
      <c r="C42" s="38"/>
      <c r="D42" s="38"/>
    </row>
    <row r="43" spans="1:11" x14ac:dyDescent="0.3">
      <c r="A43" s="39" t="s">
        <v>47</v>
      </c>
      <c r="B43" s="59">
        <f>B14^2/B16</f>
        <v>0.1450005499311588</v>
      </c>
      <c r="C43" s="59">
        <f>C14^2/C16</f>
        <v>145000.54993115886</v>
      </c>
      <c r="D43" s="59">
        <f>D14^2/D16</f>
        <v>14.500054993115885</v>
      </c>
    </row>
    <row r="44" spans="1:11" x14ac:dyDescent="0.3">
      <c r="A44" s="38" t="s">
        <v>48</v>
      </c>
      <c r="B44" s="60">
        <f>B25/B43</f>
        <v>3.3379183749977933E-3</v>
      </c>
      <c r="C44" s="60">
        <f>C25/C43</f>
        <v>6.8965255681772558E-2</v>
      </c>
      <c r="D44" s="60">
        <f>D25/D43</f>
        <v>689.65255681772567</v>
      </c>
      <c r="F44" s="15"/>
      <c r="G44" s="15"/>
    </row>
    <row r="45" spans="1:11" x14ac:dyDescent="0.3">
      <c r="A45" s="38" t="s">
        <v>49</v>
      </c>
      <c r="B45" s="61">
        <f>SQRT(B43)</f>
        <v>0.38078937738749857</v>
      </c>
      <c r="C45" s="50">
        <f>SQRT(C43)</f>
        <v>380.78937738749863</v>
      </c>
      <c r="D45" s="50">
        <f>SQRT(D43)</f>
        <v>3.8078937738749863</v>
      </c>
      <c r="F45" s="2"/>
      <c r="G45" s="2"/>
    </row>
    <row r="46" spans="1:11" x14ac:dyDescent="0.3">
      <c r="A46" s="38" t="s">
        <v>50</v>
      </c>
      <c r="B46" s="48">
        <f>B23/B45</f>
        <v>5.7774720899350027E-2</v>
      </c>
      <c r="C46" s="48">
        <f>C23/C45</f>
        <v>0.26261236772431829</v>
      </c>
      <c r="D46" s="52">
        <f>D23/D45</f>
        <v>26.261236772431829</v>
      </c>
      <c r="F46" s="15"/>
      <c r="G46" s="15"/>
    </row>
    <row r="47" spans="1:11" x14ac:dyDescent="0.3">
      <c r="B47" s="8"/>
      <c r="C47" s="9"/>
      <c r="D47" s="8"/>
      <c r="F47" s="12"/>
      <c r="G47" s="12"/>
    </row>
    <row r="48" spans="1:11" x14ac:dyDescent="0.3">
      <c r="A48" s="2" t="s">
        <v>51</v>
      </c>
      <c r="B48" s="4"/>
      <c r="C48" s="5"/>
      <c r="D48" s="4"/>
    </row>
    <row r="49" spans="1:4" x14ac:dyDescent="0.3">
      <c r="A49" s="2"/>
      <c r="B49" s="4"/>
      <c r="C49" s="5"/>
      <c r="D49" s="4"/>
    </row>
    <row r="50" spans="1:4" x14ac:dyDescent="0.3">
      <c r="A50" s="2"/>
      <c r="B50" s="6"/>
      <c r="C50" s="5"/>
      <c r="D50" s="6"/>
    </row>
    <row r="51" spans="1:4" ht="28.8" customHeight="1" x14ac:dyDescent="0.3">
      <c r="A51" s="2" t="s">
        <v>52</v>
      </c>
    </row>
    <row r="52" spans="1:4" x14ac:dyDescent="0.3">
      <c r="A52" s="2" t="s">
        <v>53</v>
      </c>
    </row>
    <row r="53" spans="1:4" x14ac:dyDescent="0.3">
      <c r="A53" s="2" t="s">
        <v>54</v>
      </c>
    </row>
    <row r="54" spans="1:4" x14ac:dyDescent="0.3">
      <c r="A54" s="49" t="s">
        <v>55</v>
      </c>
    </row>
    <row r="55" spans="1:4" x14ac:dyDescent="0.3">
      <c r="A55" s="49" t="s">
        <v>56</v>
      </c>
    </row>
    <row r="56" spans="1:4" x14ac:dyDescent="0.3">
      <c r="A56" s="2"/>
    </row>
    <row r="57" spans="1:4" x14ac:dyDescent="0.3">
      <c r="A57" s="2"/>
    </row>
  </sheetData>
  <dataValidations count="3">
    <dataValidation type="list" errorTitle="Invalid output type" error="Choose either gradient or difference." promptTitle="Output quantity" prompt="Select output quantity." sqref="B6:D6" xr:uid="{00000000-0002-0000-0000-000000000000}">
      <formula1>"gradient,difference"</formula1>
    </dataValidation>
    <dataValidation type="list" errorTitle="Invalid N" error="Use an N in the lookup table (1,2,3,5,7,9,11) or extend columns E:F." promptTitle="Number of points" prompt="Select a supported N, or extend the lookup table in E:F." sqref="B5:D5" xr:uid="{00000000-0002-0000-0000-000001000000}">
      <formula1>"1,2,3,5,7,9,11"</formula1>
    </dataValidation>
    <dataValidation type="decimal" operator="greaterThan" errorTitle="Invalid frequency" error="Frequency must be &gt; 0 Hz." sqref="B8:D9" xr:uid="{00000000-0002-0000-0000-000002000000}">
      <formula1>0</formula1>
    </dataValidation>
  </dataValidation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Lindeman, Mark A (US 365H)</cp:lastModifiedBy>
  <dcterms:created xsi:type="dcterms:W3CDTF">2026-02-10T23:36:22Z</dcterms:created>
  <dcterms:modified xsi:type="dcterms:W3CDTF">2026-02-24T18:32:15Z</dcterms:modified>
</cp:coreProperties>
</file>