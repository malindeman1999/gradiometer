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5655" windowWidth="51840" windowHeight="21120" tabRatio="600" firstSheet="0" activeTab="0" autoFilterDateGrouping="1"/>
  </bookViews>
  <sheets>
    <sheet xmlns:r="http://schemas.openxmlformats.org/officeDocument/2006/relationships" name="Calculato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0.000"/>
    <numFmt numFmtId="165" formatCode="0.0000"/>
    <numFmt numFmtId="166" formatCode="0.000000"/>
    <numFmt numFmtId="167" formatCode="0.000000E+00"/>
    <numFmt numFmtId="168" formatCode="0.0"/>
    <numFmt numFmtId="169" formatCode="0.00000"/>
    <numFmt numFmtId="170" formatCode="0.0000000"/>
  </numFmts>
  <fonts count="10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1"/>
    </font>
    <font>
      <name val="Calibri"/>
      <family val="2"/>
      <b val="1"/>
      <color theme="1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rgb="FF006100"/>
      <sz val="11"/>
      <scheme val="minor"/>
    </font>
    <font>
      <name val="Calibri"/>
      <family val="2"/>
      <sz val="11"/>
    </font>
    <font>
      <name val="Calibri"/>
      <family val="2"/>
      <b val="1"/>
      <color rgb="FF00B050"/>
      <sz val="11"/>
      <scheme val="minor"/>
    </font>
    <font>
      <name val="Calibri"/>
      <family val="2"/>
      <sz val="11"/>
      <scheme val="minor"/>
    </font>
    <font>
      <name val="Calibri"/>
      <family val="2"/>
      <b val="1"/>
      <sz val="11"/>
      <scheme val="minor"/>
    </font>
  </fonts>
  <fills count="11">
    <fill>
      <patternFill/>
    </fill>
    <fill>
      <patternFill patternType="gray125"/>
    </fill>
    <fill>
      <patternFill patternType="solid">
        <fgColor rgb="FFF6F6F6"/>
      </patternFill>
    </fill>
    <fill>
      <patternFill patternType="solid">
        <fgColor rgb="FFC6EFCE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3" borderId="0"/>
  </cellStyleXfs>
  <cellXfs count="78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164" fontId="0" fillId="0" borderId="1" pivotButton="0" quotePrefix="0" xfId="0"/>
    <xf numFmtId="1" fontId="3" fillId="2" borderId="1" pivotButton="0" quotePrefix="0" xfId="0"/>
    <xf numFmtId="165" fontId="0" fillId="0" borderId="1" pivotButton="0" quotePrefix="0" xfId="0"/>
    <xf numFmtId="165" fontId="0" fillId="0" borderId="2" pivotButton="0" quotePrefix="0" xfId="0"/>
    <xf numFmtId="166" fontId="4" fillId="0" borderId="1" pivotButton="0" quotePrefix="0" xfId="1"/>
    <xf numFmtId="1" fontId="0" fillId="0" borderId="1" pivotButton="0" quotePrefix="0" xfId="0"/>
    <xf numFmtId="1" fontId="0" fillId="0" borderId="2" pivotButton="0" quotePrefix="0" xfId="0"/>
    <xf numFmtId="1" fontId="3" fillId="0" borderId="0" pivotButton="0" quotePrefix="0" xfId="0"/>
    <xf numFmtId="165" fontId="0" fillId="0" borderId="0" pivotButton="0" quotePrefix="0" xfId="0"/>
    <xf numFmtId="166" fontId="5" fillId="0" borderId="0" pivotButton="0" quotePrefix="0" xfId="1"/>
    <xf numFmtId="167" fontId="5" fillId="0" borderId="0" pivotButton="0" quotePrefix="0" xfId="1"/>
    <xf numFmtId="166" fontId="0" fillId="0" borderId="0" pivotButton="0" quotePrefix="0" xfId="0"/>
    <xf numFmtId="0" fontId="0" fillId="4" borderId="3" pivotButton="0" quotePrefix="0" xfId="0"/>
    <xf numFmtId="1" fontId="0" fillId="4" borderId="3" pivotButton="0" quotePrefix="0" xfId="0"/>
    <xf numFmtId="1" fontId="3" fillId="4" borderId="3" pivotButton="0" quotePrefix="0" xfId="0"/>
    <xf numFmtId="0" fontId="0" fillId="4" borderId="3" applyAlignment="1" pivotButton="0" quotePrefix="0" xfId="0">
      <alignment vertical="center"/>
    </xf>
    <xf numFmtId="0" fontId="0" fillId="4" borderId="3" applyAlignment="1" pivotButton="0" quotePrefix="0" xfId="0">
      <alignment vertical="center" wrapText="1"/>
    </xf>
    <xf numFmtId="164" fontId="0" fillId="4" borderId="3" pivotButton="0" quotePrefix="0" xfId="0"/>
    <xf numFmtId="11" fontId="0" fillId="4" borderId="3" pivotButton="0" quotePrefix="0" xfId="0"/>
    <xf numFmtId="165" fontId="0" fillId="4" borderId="3" pivotButton="0" quotePrefix="0" xfId="0"/>
    <xf numFmtId="0" fontId="2" fillId="5" borderId="3" pivotButton="0" quotePrefix="0" xfId="0"/>
    <xf numFmtId="0" fontId="0" fillId="5" borderId="3" pivotButton="0" quotePrefix="0" xfId="0"/>
    <xf numFmtId="0" fontId="3" fillId="5" borderId="3" pivotButton="0" quotePrefix="0" xfId="0"/>
    <xf numFmtId="167" fontId="0" fillId="5" borderId="3" pivotButton="0" quotePrefix="0" xfId="0"/>
    <xf numFmtId="0" fontId="0" fillId="6" borderId="3" pivotButton="0" quotePrefix="0" xfId="0"/>
    <xf numFmtId="168" fontId="0" fillId="6" borderId="3" pivotButton="0" quotePrefix="0" xfId="0"/>
    <xf numFmtId="164" fontId="0" fillId="6" borderId="3" pivotButton="0" quotePrefix="0" xfId="0"/>
    <xf numFmtId="0" fontId="3" fillId="6" borderId="3" pivotButton="0" quotePrefix="0" xfId="0"/>
    <xf numFmtId="168" fontId="3" fillId="6" borderId="3" pivotButton="0" quotePrefix="0" xfId="0"/>
    <xf numFmtId="0" fontId="0" fillId="7" borderId="3" pivotButton="0" quotePrefix="0" xfId="0"/>
    <xf numFmtId="1" fontId="3" fillId="7" borderId="3" pivotButton="0" quotePrefix="0" xfId="0"/>
    <xf numFmtId="0" fontId="2" fillId="6" borderId="3" pivotButton="0" quotePrefix="0" xfId="0"/>
    <xf numFmtId="0" fontId="3" fillId="4" borderId="3" pivotButton="0" quotePrefix="0" xfId="0"/>
    <xf numFmtId="0" fontId="6" fillId="4" borderId="3" pivotButton="0" quotePrefix="0" xfId="0"/>
    <xf numFmtId="0" fontId="0" fillId="6" borderId="0" pivotButton="0" quotePrefix="0" xfId="0"/>
    <xf numFmtId="164" fontId="0" fillId="6" borderId="0" pivotButton="0" quotePrefix="0" xfId="0"/>
    <xf numFmtId="0" fontId="0" fillId="8" borderId="0" pivotButton="0" quotePrefix="0" xfId="0"/>
    <xf numFmtId="0" fontId="0" fillId="8" borderId="0" applyAlignment="1" pivotButton="0" quotePrefix="0" xfId="0">
      <alignment wrapText="1"/>
    </xf>
    <xf numFmtId="0" fontId="0" fillId="9" borderId="0" pivotButton="0" quotePrefix="0" xfId="0"/>
    <xf numFmtId="166" fontId="7" fillId="9" borderId="0" pivotButton="0" quotePrefix="0" xfId="1"/>
    <xf numFmtId="0" fontId="8" fillId="10" borderId="3" pivotButton="0" quotePrefix="0" xfId="0"/>
    <xf numFmtId="166" fontId="9" fillId="10" borderId="3" pivotButton="0" quotePrefix="0" xfId="1"/>
    <xf numFmtId="169" fontId="7" fillId="10" borderId="3" pivotButton="0" quotePrefix="0" xfId="1"/>
    <xf numFmtId="169" fontId="7" fillId="7" borderId="3" pivotButton="0" quotePrefix="0" xfId="0"/>
    <xf numFmtId="169" fontId="0" fillId="4" borderId="3" pivotButton="0" quotePrefix="0" xfId="0"/>
    <xf numFmtId="165" fontId="7" fillId="7" borderId="3" pivotButton="0" quotePrefix="0" xfId="1"/>
    <xf numFmtId="166" fontId="3" fillId="8" borderId="1" pivotButton="0" quotePrefix="0" xfId="0"/>
    <xf numFmtId="170" fontId="3" fillId="8" borderId="1" pivotButton="0" quotePrefix="0" xfId="0"/>
    <xf numFmtId="165" fontId="7" fillId="8" borderId="1" pivotButton="0" quotePrefix="0" xfId="0"/>
    <xf numFmtId="0" fontId="0" fillId="0" borderId="0" pivotButton="0" quotePrefix="1" xfId="0"/>
    <xf numFmtId="168" fontId="0" fillId="8" borderId="1" pivotButton="0" quotePrefix="0" xfId="0"/>
    <xf numFmtId="167" fontId="0" fillId="5" borderId="3" pivotButton="0" quotePrefix="0" xfId="0"/>
    <xf numFmtId="168" fontId="0" fillId="6" borderId="3" pivotButton="0" quotePrefix="0" xfId="0"/>
    <xf numFmtId="164" fontId="0" fillId="6" borderId="3" pivotButton="0" quotePrefix="0" xfId="0"/>
    <xf numFmtId="168" fontId="3" fillId="6" borderId="3" pivotButton="0" quotePrefix="0" xfId="0"/>
    <xf numFmtId="164" fontId="0" fillId="6" borderId="0" pivotButton="0" quotePrefix="0" xfId="0"/>
    <xf numFmtId="164" fontId="0" fillId="4" borderId="3" pivotButton="0" quotePrefix="0" xfId="0"/>
    <xf numFmtId="165" fontId="0" fillId="4" borderId="3" pivotButton="0" quotePrefix="0" xfId="0"/>
    <xf numFmtId="165" fontId="7" fillId="7" borderId="3" pivotButton="0" quotePrefix="0" xfId="1"/>
    <xf numFmtId="165" fontId="0" fillId="0" borderId="0" pivotButton="0" quotePrefix="0" xfId="0"/>
    <xf numFmtId="166" fontId="7" fillId="9" borderId="0" pivotButton="0" quotePrefix="0" xfId="1"/>
    <xf numFmtId="166" fontId="9" fillId="10" borderId="3" pivotButton="0" quotePrefix="0" xfId="1"/>
    <xf numFmtId="166" fontId="4" fillId="0" borderId="1" pivotButton="0" quotePrefix="0" xfId="1"/>
    <xf numFmtId="166" fontId="5" fillId="0" borderId="0" pivotButton="0" quotePrefix="0" xfId="1"/>
    <xf numFmtId="167" fontId="5" fillId="0" borderId="0" pivotButton="0" quotePrefix="0" xfId="1"/>
    <xf numFmtId="166" fontId="3" fillId="8" borderId="1" pivotButton="0" quotePrefix="0" xfId="0"/>
    <xf numFmtId="166" fontId="0" fillId="0" borderId="0" pivotButton="0" quotePrefix="0" xfId="0"/>
    <xf numFmtId="168" fontId="0" fillId="8" borderId="1" pivotButton="0" quotePrefix="0" xfId="0"/>
    <xf numFmtId="165" fontId="7" fillId="8" borderId="1" pivotButton="0" quotePrefix="0" xfId="0"/>
    <xf numFmtId="165" fontId="0" fillId="0" borderId="1" pivotButton="0" quotePrefix="0" xfId="0"/>
    <xf numFmtId="165" fontId="0" fillId="0" borderId="2" pivotButton="0" quotePrefix="0" xfId="0"/>
    <xf numFmtId="164" fontId="0" fillId="0" borderId="1" pivotButton="0" quotePrefix="0" xfId="0"/>
  </cellXfs>
  <cellStyles count="2">
    <cellStyle name="Normal" xfId="0" builtinId="0"/>
    <cellStyle name="Good" xfId="1" builtinId="2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oneCell">
    <from>
      <col>9</col>
      <colOff>590550</colOff>
      <row>0</row>
      <rowOff>123825</rowOff>
    </from>
    <to>
      <col>19</col>
      <colOff>38580</colOff>
      <row>22</row>
      <rowOff>55638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3573125" y="123825"/>
          <a:ext cx="5544030" cy="453619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9</col>
      <colOff>563880</colOff>
      <row>41</row>
      <rowOff>38100</rowOff>
    </from>
    <to>
      <col>20</col>
      <colOff>168186</colOff>
      <row>46</row>
      <rowOff>59136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5060930" y="6791325"/>
          <a:ext cx="6302286" cy="92210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tabSelected="1" workbookViewId="0">
      <pane ySplit="3" topLeftCell="A4" activePane="bottomLeft" state="frozen"/>
      <selection pane="bottomLeft" activeCell="D48" sqref="D48"/>
    </sheetView>
  </sheetViews>
  <sheetFormatPr baseColWidth="8" defaultRowHeight="14.4"/>
  <cols>
    <col width="80.6640625" customWidth="1" min="1" max="1"/>
    <col width="28" customWidth="1" min="2" max="2"/>
    <col width="25.44140625" customWidth="1" min="3" max="3"/>
    <col width="28" customWidth="1" min="4" max="4"/>
    <col width="18.109375" customWidth="1" min="5" max="5"/>
    <col width="18" customWidth="1" min="6" max="6"/>
    <col width="14.44140625" customWidth="1" min="7" max="7"/>
  </cols>
  <sheetData>
    <row r="1" ht="18" customHeight="1">
      <c r="A1" s="3" t="inlineStr">
        <is>
          <t>Gradiometer Noise Calculator</t>
        </is>
      </c>
    </row>
    <row r="3">
      <c r="A3" s="26" t="inlineStr">
        <is>
          <t>Inputs</t>
        </is>
      </c>
      <c r="B3" s="27" t="inlineStr">
        <is>
          <t>10 m gradiometer, SQUID</t>
        </is>
      </c>
      <c r="C3" s="27" t="inlineStr">
        <is>
          <t>1  km gradiometer flux gate</t>
        </is>
      </c>
      <c r="D3" s="27" t="inlineStr">
        <is>
          <t>10 m gradiometer, Flux gate</t>
        </is>
      </c>
      <c r="E3" s="1" t="inlineStr">
        <is>
          <t>Coefficient lookup (from central-difference stencils)</t>
        </is>
      </c>
    </row>
    <row r="4">
      <c r="A4" s="27" t="inlineStr">
        <is>
          <t>Gradiometer length L [m]</t>
        </is>
      </c>
      <c r="B4" s="27" t="n">
        <v>10</v>
      </c>
      <c r="C4" s="27" t="n">
        <v>10000</v>
      </c>
      <c r="D4" s="27" t="n">
        <v>10</v>
      </c>
      <c r="E4" s="1" t="inlineStr">
        <is>
          <t>N</t>
        </is>
      </c>
      <c r="F4" s="1" t="inlineStr">
        <is>
          <t>sum(c_i^2)</t>
        </is>
      </c>
    </row>
    <row r="5">
      <c r="A5" s="27" t="inlineStr">
        <is>
          <t>Number of sensors / points N</t>
        </is>
      </c>
      <c r="B5" s="27" t="n">
        <v>2</v>
      </c>
      <c r="C5" s="27" t="n">
        <v>2</v>
      </c>
      <c r="D5" s="27" t="n">
        <v>2</v>
      </c>
      <c r="E5" t="n">
        <v>1</v>
      </c>
      <c r="F5" t="n">
        <v>1</v>
      </c>
    </row>
    <row r="6">
      <c r="A6" s="27" t="inlineStr">
        <is>
          <t>Output quantity (gradient or difference)</t>
        </is>
      </c>
      <c r="B6" s="27" t="inlineStr">
        <is>
          <t>gradient</t>
        </is>
      </c>
      <c r="C6" s="27" t="inlineStr">
        <is>
          <t>gradient</t>
        </is>
      </c>
      <c r="D6" s="27" t="inlineStr">
        <is>
          <t>gradient</t>
        </is>
      </c>
      <c r="E6" t="n">
        <v>2</v>
      </c>
      <c r="F6" t="n">
        <v>2</v>
      </c>
    </row>
    <row r="7">
      <c r="A7" s="28" t="inlineStr">
        <is>
          <t>Required gradiometer RMS [pT/m if gradient, pT if difference]</t>
        </is>
      </c>
      <c r="B7" s="28" t="n">
        <v>1</v>
      </c>
      <c r="C7" s="28" t="n">
        <v>1</v>
      </c>
      <c r="D7" s="28" t="n">
        <v>1</v>
      </c>
      <c r="E7" t="n">
        <v>3</v>
      </c>
      <c r="F7" t="n">
        <v>2</v>
      </c>
    </row>
    <row r="8">
      <c r="A8" s="27" t="inlineStr">
        <is>
          <t>Band low f_low [Hz]</t>
        </is>
      </c>
      <c r="B8" s="57">
        <f>1/3600</f>
        <v/>
      </c>
      <c r="C8" s="57">
        <f>1/3600</f>
        <v/>
      </c>
      <c r="D8" s="57">
        <f>1/3600</f>
        <v/>
      </c>
      <c r="E8" t="n">
        <v>5</v>
      </c>
      <c r="F8" t="n">
        <v>14.44444444444444</v>
      </c>
    </row>
    <row r="9">
      <c r="A9" s="27" t="inlineStr">
        <is>
          <t>Band high f_high [Hz]</t>
        </is>
      </c>
      <c r="B9" s="57">
        <f>1/114.483</f>
        <v/>
      </c>
      <c r="C9" s="57">
        <f>1/114.483</f>
        <v/>
      </c>
      <c r="D9" s="57">
        <f>1/114.483</f>
        <v/>
      </c>
      <c r="E9" t="n">
        <v>7</v>
      </c>
      <c r="F9" t="n">
        <v>42.13999999999999</v>
      </c>
    </row>
    <row r="10">
      <c r="B10" s="4" t="n"/>
      <c r="C10" s="5" t="n"/>
      <c r="D10" s="4" t="n"/>
      <c r="E10" t="n">
        <v>9</v>
      </c>
      <c r="F10" t="n">
        <v>87.2273922902494</v>
      </c>
    </row>
    <row r="11">
      <c r="A11" s="37" t="inlineStr">
        <is>
          <t>Computed</t>
        </is>
      </c>
      <c r="B11" s="30" t="n"/>
      <c r="C11" s="30" t="n"/>
      <c r="D11" s="30" t="n"/>
      <c r="E11" t="n">
        <v>11</v>
      </c>
      <c r="F11" t="n">
        <v>150.9551839254239</v>
      </c>
    </row>
    <row r="12">
      <c r="A12" s="30" t="inlineStr">
        <is>
          <t>Lookup sum(c_i^2) from N</t>
        </is>
      </c>
      <c r="B12" s="58">
        <f>IFERROR(_xlfn.SINGLE(_xlfn.XLOOKUP(B5,$E$5:$E$31,$F$5:$F$31)),NA())</f>
        <v/>
      </c>
      <c r="C12" s="58">
        <f>IFERROR(_xlfn.SINGLE(_xlfn.XLOOKUP(C5,$E$5:$E$31,$F$5:$F$31)),NA())</f>
        <v/>
      </c>
      <c r="D12" s="58">
        <f>IFERROR(_xlfn.SINGLE(_xlfn.XLOOKUP(D5,$E$5:$E$31,$F$5:$F$31)),NA())</f>
        <v/>
      </c>
    </row>
    <row r="13">
      <c r="A13" s="30" t="inlineStr">
        <is>
          <t>weight_sq_sum = output_variance / sensor_variance</t>
        </is>
      </c>
      <c r="B13" s="59">
        <f>IF(B6="gradient",B12/(B4^2),B12)</f>
        <v/>
      </c>
      <c r="C13" s="59">
        <f>IF(C6="gradient",C12/(C4^2),C12)</f>
        <v/>
      </c>
      <c r="D13" s="59">
        <f>IF(D6="gradient",D12/(D4^2),D12)</f>
        <v/>
      </c>
    </row>
    <row r="14">
      <c r="A14" s="33" t="inlineStr">
        <is>
          <t>Required sensor RMS [pT]</t>
        </is>
      </c>
      <c r="B14" s="60">
        <f>B7/SQRT(B13)</f>
        <v/>
      </c>
      <c r="C14" s="60">
        <f>C7/SQRT(C13)</f>
        <v/>
      </c>
      <c r="D14" s="60">
        <f>D7/SQRT(D13)</f>
        <v/>
      </c>
    </row>
    <row r="15">
      <c r="A15" s="30" t="inlineStr">
        <is>
          <t>Bandwidth Delta_f [Hz]</t>
        </is>
      </c>
      <c r="B15" s="59">
        <f>B9-B8</f>
        <v/>
      </c>
      <c r="C15" s="59">
        <f>C9-C8</f>
        <v/>
      </c>
      <c r="D15" s="59">
        <f>D9-D8</f>
        <v/>
      </c>
    </row>
    <row r="16">
      <c r="A16" s="40" t="inlineStr">
        <is>
          <t>ln(f_high/f_low)</t>
        </is>
      </c>
      <c r="B16" s="61">
        <f>LN(B9/B8)</f>
        <v/>
      </c>
      <c r="C16" s="61">
        <f>LN(C9/C8)</f>
        <v/>
      </c>
      <c r="D16" s="61">
        <f>LN(D9/D8)</f>
        <v/>
      </c>
    </row>
    <row r="17">
      <c r="B17" s="11" t="n"/>
      <c r="C17" s="12" t="n"/>
      <c r="D17" s="11" t="n"/>
    </row>
    <row r="18">
      <c r="A18" s="38" t="inlineStr">
        <is>
          <t>Sensor Properties</t>
        </is>
      </c>
      <c r="B18" s="19" t="n"/>
      <c r="C18" s="19" t="n"/>
      <c r="D18" s="19" t="n"/>
    </row>
    <row r="19">
      <c r="A19" s="18" t="inlineStr">
        <is>
          <t>Sensor</t>
        </is>
      </c>
      <c r="B19" s="20" t="inlineStr">
        <is>
          <t>HTS SQUID</t>
        </is>
      </c>
      <c r="C19" s="20" t="inlineStr">
        <is>
          <t>Fluxgate</t>
        </is>
      </c>
      <c r="D19" s="20" t="inlineStr">
        <is>
          <t>Fluxgate</t>
        </is>
      </c>
    </row>
    <row r="20" ht="57.6" customHeight="1">
      <c r="A20" s="21" t="inlineStr">
        <is>
          <t>reference for noise</t>
        </is>
      </c>
      <c r="B20" s="22" t="inlineStr">
        <is>
          <t>Cantor et al IEEE TRANSACTIONSON APPLIED SUPERCONDUCTIVITY, VOL. 5, NO. 2, JUNE 1995</t>
        </is>
      </c>
      <c r="C20" s="22" t="inlineStr">
        <is>
          <t>Kivelson  Space Science Reviews (2023) 219:48</t>
        </is>
      </c>
      <c r="D20" s="22" t="inlineStr">
        <is>
          <t>Kivelson  Space Science Reviews (2023) 219:48</t>
        </is>
      </c>
      <c r="K20" t="inlineStr">
        <is>
          <t>Kivelson  Space Science Reviews (2023) 219:48</t>
        </is>
      </c>
    </row>
    <row r="21">
      <c r="A21" s="18" t="inlineStr">
        <is>
          <t>Sensor white noise [pT/ root Hz]</t>
        </is>
      </c>
      <c r="B21" s="62" t="n">
        <v>0.02</v>
      </c>
      <c r="C21" s="19" t="n">
        <v>50</v>
      </c>
      <c r="D21" s="19" t="n">
        <v>50</v>
      </c>
    </row>
    <row r="22">
      <c r="A22" s="18" t="inlineStr">
        <is>
          <t>sensor 1/f Noise at 1 Hz  (pT/root Hz)</t>
        </is>
      </c>
      <c r="B22" s="62" t="n">
        <v>0.022</v>
      </c>
      <c r="C22" s="19" t="n">
        <v>100</v>
      </c>
      <c r="D22" s="19" t="n">
        <v>100</v>
      </c>
    </row>
    <row r="23">
      <c r="A23" s="39" t="inlineStr">
        <is>
          <t>Assume PSD(f) = K/f, ASD =SQRT(K/f)</t>
        </is>
      </c>
      <c r="B23" s="62" t="n"/>
      <c r="C23" s="62" t="n"/>
      <c r="D23" s="62" t="n"/>
    </row>
    <row r="24">
      <c r="A24" s="18" t="inlineStr">
        <is>
          <t>K [pT^2]</t>
        </is>
      </c>
      <c r="B24" s="24">
        <f>B22^2</f>
        <v/>
      </c>
      <c r="C24" s="24">
        <f>C22^2</f>
        <v/>
      </c>
      <c r="D24" s="24">
        <f>D22^2</f>
        <v/>
      </c>
    </row>
    <row r="25" hidden="1">
      <c r="A25" s="18" t="inlineStr">
        <is>
          <t>Sensor ASD at arithmetic band center [pT/sqrt(Hz)]</t>
        </is>
      </c>
      <c r="B25" s="19">
        <f>SQRT(B24/((B8+B9)/2))</f>
        <v/>
      </c>
      <c r="C25" s="19">
        <f>SQRT(C24/((C8+C9)/2))</f>
        <v/>
      </c>
      <c r="D25" s="19">
        <f>SQRT(D24/((D8+D9)/2))</f>
        <v/>
      </c>
      <c r="E25" t="inlineStr">
        <is>
          <t>RMS estimate [pT]</t>
        </is>
      </c>
      <c r="H25" t="inlineStr">
        <is>
          <t>ratio</t>
        </is>
      </c>
      <c r="I25">
        <f>F25/$B$14</f>
        <v/>
      </c>
    </row>
    <row r="26" hidden="1">
      <c r="A26" s="18" t="inlineStr">
        <is>
          <t>Arithmetic center frequency f_c,arith [Hz]</t>
        </is>
      </c>
      <c r="B26" s="63">
        <f>(B8+B9)/2</f>
        <v/>
      </c>
      <c r="C26" s="63">
        <f>(C8+C9)/2</f>
        <v/>
      </c>
      <c r="D26" s="63">
        <f>(D8+D9)/2</f>
        <v/>
      </c>
    </row>
    <row r="27" hidden="1">
      <c r="A27" s="18" t="n"/>
      <c r="B27" s="19" t="n"/>
      <c r="C27" s="19" t="n"/>
      <c r="D27" s="19" t="n"/>
    </row>
    <row r="28" hidden="1">
      <c r="A28" s="18" t="inlineStr">
        <is>
          <t>Sensor ASD at geometric band center [pT/sqrt(Hz)]</t>
        </is>
      </c>
      <c r="B28" s="20">
        <f>SQRT(B24/SQRT(B8*B9))</f>
        <v/>
      </c>
      <c r="C28" s="20">
        <f>SQRT(C24/SQRT(C8*C9))</f>
        <v/>
      </c>
      <c r="D28" s="20">
        <f>SQRT(D24/SQRT(D8*D9))</f>
        <v/>
      </c>
      <c r="E28" t="inlineStr">
        <is>
          <t>RMS estimate [pT]</t>
        </is>
      </c>
      <c r="H28" t="inlineStr">
        <is>
          <t>ratio</t>
        </is>
      </c>
      <c r="I28">
        <f>F28/$B$14</f>
        <v/>
      </c>
    </row>
    <row r="29" hidden="1">
      <c r="A29" s="18" t="inlineStr">
        <is>
          <t>Geometric center frequency f_c,geom [Hz]</t>
        </is>
      </c>
      <c r="B29" s="63">
        <f>SQRT(B8*B9)</f>
        <v/>
      </c>
      <c r="C29" s="63">
        <f>SQRT(C8*C9)</f>
        <v/>
      </c>
      <c r="D29" s="63">
        <f>SQRT(D8*D9)</f>
        <v/>
      </c>
    </row>
    <row r="30">
      <c r="A30" s="18" t="inlineStr">
        <is>
          <t>Sensor RMS white noise over band [pT]</t>
        </is>
      </c>
      <c r="B30" s="50">
        <f>B21*SQRT(B15)</f>
        <v/>
      </c>
      <c r="C30" s="50">
        <f>C21*SQRT(C15)</f>
        <v/>
      </c>
      <c r="D30" s="50">
        <f>D21*SQRT(D15)</f>
        <v/>
      </c>
    </row>
    <row r="31" ht="15" customHeight="1">
      <c r="A31" s="18" t="inlineStr">
        <is>
          <t>Sensor RMS 1/f noise over band [pT]</t>
        </is>
      </c>
      <c r="B31" s="63">
        <f>SQRT(B24*B16)</f>
        <v/>
      </c>
      <c r="C31" s="63">
        <f>SQRT(C24*C16)</f>
        <v/>
      </c>
      <c r="D31" s="63">
        <f>SQRT(D24*D16)</f>
        <v/>
      </c>
    </row>
    <row r="32">
      <c r="B32" s="7" t="n"/>
      <c r="C32" s="7" t="n"/>
      <c r="D32" s="7" t="n"/>
    </row>
    <row r="33">
      <c r="A33" s="35" t="inlineStr">
        <is>
          <t>Ratio to required RMS</t>
        </is>
      </c>
      <c r="B33" s="36" t="n"/>
      <c r="C33" s="36" t="n"/>
      <c r="D33" s="36" t="n"/>
    </row>
    <row r="34">
      <c r="A34" s="35" t="inlineStr">
        <is>
          <t>White noise RMS ratio</t>
        </is>
      </c>
      <c r="B34" s="49">
        <f>B30/B14</f>
        <v/>
      </c>
      <c r="C34" s="49">
        <f>C30/C14</f>
        <v/>
      </c>
      <c r="D34" s="49">
        <f>D30/D14</f>
        <v/>
      </c>
      <c r="F34" s="13" t="n"/>
      <c r="G34" s="13" t="n"/>
    </row>
    <row r="35" ht="13.2" customHeight="1">
      <c r="A35" s="35" t="inlineStr">
        <is>
          <t>1/f RMS ratio</t>
        </is>
      </c>
      <c r="B35" s="64">
        <f>B31/B14</f>
        <v/>
      </c>
      <c r="C35" s="64">
        <f>C31/C14</f>
        <v/>
      </c>
      <c r="D35" s="64">
        <f>D31/D14</f>
        <v/>
      </c>
      <c r="F35" s="65" t="n"/>
      <c r="G35" s="65" t="n"/>
    </row>
    <row r="36" ht="13.2" customHeight="1">
      <c r="A36" s="44" t="n"/>
      <c r="B36" s="66" t="n"/>
      <c r="C36" s="66" t="n"/>
      <c r="D36" s="66" t="n"/>
      <c r="F36" s="65" t="n"/>
      <c r="G36" s="65" t="n"/>
    </row>
    <row r="37" ht="13.2" customHeight="1">
      <c r="A37" s="46" t="inlineStr">
        <is>
          <t>white noise requirements to get the required sensor RMS in band</t>
        </is>
      </c>
      <c r="B37" s="67" t="n"/>
      <c r="C37" s="67" t="n"/>
      <c r="D37" s="67" t="n"/>
      <c r="F37" s="65" t="n"/>
      <c r="G37" s="65" t="n"/>
    </row>
    <row r="38" ht="13.2" customHeight="1">
      <c r="A38" s="46" t="inlineStr">
        <is>
          <t>White noise must be less than [pT/root Hz]</t>
        </is>
      </c>
      <c r="B38" s="67">
        <f>B14/SQRT(B15)</f>
        <v/>
      </c>
      <c r="C38" s="67">
        <f>C14/SQRT(C15)</f>
        <v/>
      </c>
      <c r="D38" s="67">
        <f>D14/SQRT(D15)</f>
        <v/>
      </c>
      <c r="F38" s="65" t="n"/>
      <c r="G38" s="65" t="n"/>
    </row>
    <row r="39" ht="13.2" customHeight="1">
      <c r="A39" s="46" t="inlineStr">
        <is>
          <t>White noise at 1 Hz ratio &lt;1</t>
        </is>
      </c>
      <c r="B39" s="48">
        <f>B21/B38</f>
        <v/>
      </c>
      <c r="C39" s="48">
        <f>C21/C38</f>
        <v/>
      </c>
      <c r="D39" s="48">
        <f>D21/D38</f>
        <v/>
      </c>
      <c r="F39" s="65" t="n"/>
      <c r="G39" s="65" t="n"/>
    </row>
    <row r="40" ht="21" customHeight="1">
      <c r="B40" s="68" t="n"/>
      <c r="C40" s="68" t="n"/>
      <c r="D40" s="68" t="n"/>
      <c r="F40" s="69" t="n"/>
      <c r="G40" s="70" t="n"/>
      <c r="K40" t="inlineStr">
        <is>
          <t>Kivelson  Space Science Reviews (2023) 219:48</t>
        </is>
      </c>
    </row>
    <row r="41">
      <c r="A41" s="42" t="inlineStr">
        <is>
          <t>1/f noise requirements to get the required sensor RMS in band</t>
        </is>
      </c>
      <c r="B41" s="42" t="n"/>
      <c r="C41" s="42" t="n"/>
      <c r="D41" s="42" t="n"/>
    </row>
    <row r="42">
      <c r="A42" s="43" t="inlineStr">
        <is>
          <t xml:space="preserve">K must be less  than  [pT^2]  </t>
        </is>
      </c>
      <c r="B42" s="71">
        <f>B14^2/B16</f>
        <v/>
      </c>
      <c r="C42" s="71">
        <f>C14^2/C16</f>
        <v/>
      </c>
      <c r="D42" s="71">
        <f>D14^2/D16</f>
        <v/>
      </c>
    </row>
    <row r="43">
      <c r="A43" s="42" t="inlineStr">
        <is>
          <t>K ratio ratio &lt;1</t>
        </is>
      </c>
      <c r="B43" s="53">
        <f>B24/B42</f>
        <v/>
      </c>
      <c r="C43" s="53">
        <f>C24/C42</f>
        <v/>
      </c>
      <c r="D43" s="53">
        <f>D24/D42</f>
        <v/>
      </c>
      <c r="F43" s="72" t="n"/>
      <c r="G43" s="72" t="n"/>
    </row>
    <row r="44">
      <c r="A44" s="42" t="inlineStr">
        <is>
          <t>1/f at 1 Hz must be less than</t>
        </is>
      </c>
      <c r="B44" s="73">
        <f>SQRT(B42)</f>
        <v/>
      </c>
      <c r="C44" s="73">
        <f>SQRT(C42)</f>
        <v/>
      </c>
      <c r="D44" s="73">
        <f>SQRT(D42)</f>
        <v/>
      </c>
      <c r="F44" s="2" t="n"/>
      <c r="G44" s="2" t="n"/>
    </row>
    <row r="45">
      <c r="A45" s="42" t="inlineStr">
        <is>
          <t>1/f @ 1Hz ratio &lt;1</t>
        </is>
      </c>
      <c r="B45" s="74">
        <f>B22/B44</f>
        <v/>
      </c>
      <c r="C45" s="74">
        <f>C22/C44</f>
        <v/>
      </c>
      <c r="D45" s="74">
        <f>D22/D44</f>
        <v/>
      </c>
      <c r="F45" s="72" t="n"/>
      <c r="G45" s="72" t="n"/>
    </row>
    <row r="46">
      <c r="B46" s="75" t="n"/>
      <c r="C46" s="76" t="n"/>
      <c r="D46" s="75" t="n"/>
      <c r="F46" s="65" t="n"/>
      <c r="G46" s="65" t="n"/>
    </row>
    <row r="47">
      <c r="A47" s="2" t="inlineStr">
        <is>
          <t>Notes:</t>
        </is>
      </c>
      <c r="B47" s="4" t="n"/>
      <c r="C47" s="5" t="n"/>
      <c r="D47" s="4" t="n"/>
    </row>
    <row r="48">
      <c r="A48" s="2" t="n"/>
      <c r="B48" s="4" t="n"/>
      <c r="C48" s="5" t="n"/>
      <c r="D48" s="4" t="n"/>
    </row>
    <row r="49">
      <c r="A49" s="2" t="n"/>
      <c r="B49" s="77" t="n"/>
      <c r="C49" s="5" t="n"/>
      <c r="D49" s="77" t="n"/>
    </row>
    <row r="50" ht="28.8" customHeight="1">
      <c r="A50" s="2" t="inlineStr">
        <is>
          <t>- N lookup table is precomputed using solar_wind_functions.central_difference_coefficients.</t>
        </is>
      </c>
    </row>
    <row r="51">
      <c r="A51" s="2" t="inlineStr">
        <is>
          <t>- For N not in lookup, add rows in columns E:F (or set B12 manually).</t>
        </is>
      </c>
    </row>
    <row r="52">
      <c r="A52" s="2" t="inlineStr">
        <is>
          <t>- Band center frequencies are listed below each center-ASD pair.</t>
        </is>
      </c>
    </row>
    <row r="53">
      <c r="A53" s="55" t="inlineStr">
        <is>
          <t>- The 1/f ASD model: ASD(f) =  SQRT(K/f),  ASD is in pT/sqrt(Hz).,  PSD = K/f   [pT^2/Hz]</t>
        </is>
      </c>
    </row>
    <row r="54">
      <c r="A54" s="55" t="inlineStr">
        <is>
          <t>- Integrated 1/f RMS over [f_low, f_high]: RMS = (SQRT(K* LN(f_high/f_low)) [pT].</t>
        </is>
      </c>
    </row>
    <row r="55">
      <c r="A55" s="2" t="n"/>
    </row>
    <row r="56">
      <c r="A56" s="2" t="n"/>
    </row>
  </sheetData>
  <pageMargins left="0.75" right="0.75" top="1" bottom="1" header="0.5" footer="0.5"/>
  <pageSetup orientation="portrait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2026-02-10T23:36:22Z</dcterms:created>
  <dcterms:modified xmlns:dcterms="http://purl.org/dc/terms/" xmlns:xsi="http://www.w3.org/2001/XMLSchema-instance" xsi:type="dcterms:W3CDTF">2026-02-23T22:20:42Z</dcterms:modified>
  <cp:lastModifiedBy>Lindeman, Mark A (US 365H)</cp:lastModifiedBy>
</cp:coreProperties>
</file>