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indeman\Documents\Python\gradiometer\solar_wind_noise\"/>
    </mc:Choice>
  </mc:AlternateContent>
  <xr:revisionPtr revIDLastSave="0" documentId="13_ncr:1_{28C17E93-639A-4348-85E4-D776A9E6A1AD}" xr6:coauthVersionLast="47" xr6:coauthVersionMax="47" xr10:uidLastSave="{00000000-0000-0000-0000-000000000000}"/>
  <bookViews>
    <workbookView xWindow="28680" yWindow="-5655" windowWidth="51840" windowHeight="21120" xr2:uid="{00000000-000D-0000-FFFF-FFFF00000000}"/>
  </bookViews>
  <sheets>
    <sheet name="Calcul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13" i="1" s="1"/>
  <c r="B14" i="1" s="1"/>
  <c r="B9" i="1"/>
  <c r="B8" i="1"/>
  <c r="B26" i="1" l="1"/>
  <c r="B15" i="1"/>
  <c r="B16" i="1" s="1"/>
  <c r="F16" i="1" s="1"/>
  <c r="B23" i="1"/>
  <c r="B20" i="1"/>
  <c r="B29" i="1" l="1"/>
  <c r="B25" i="1"/>
  <c r="F25" i="1" s="1"/>
  <c r="I25" i="1" s="1"/>
  <c r="B22" i="1"/>
  <c r="F22" i="1" s="1"/>
  <c r="I22" i="1" s="1"/>
  <c r="B28" i="1" l="1"/>
  <c r="F28" i="1" s="1"/>
  <c r="I28" i="1" s="1"/>
</calcChain>
</file>

<file path=xl/sharedStrings.xml><?xml version="1.0" encoding="utf-8"?>
<sst xmlns="http://schemas.openxmlformats.org/spreadsheetml/2006/main" count="39" uniqueCount="33">
  <si>
    <t>Gradiometer Noise Calculator</t>
  </si>
  <si>
    <t>Inputs</t>
  </si>
  <si>
    <t>Coefficient lookup (from central-difference stencils)</t>
  </si>
  <si>
    <t>Gradiometer length L [m]</t>
  </si>
  <si>
    <t>N</t>
  </si>
  <si>
    <t>sum(c_i^2)</t>
  </si>
  <si>
    <t>Number of sensors / points N</t>
  </si>
  <si>
    <t>Output quantity (gradient or difference)</t>
  </si>
  <si>
    <t>gradient</t>
  </si>
  <si>
    <t>Required gradiometer RMS [pT/m if gradient, pT if difference]</t>
  </si>
  <si>
    <t>Band low f_low [Hz]</t>
  </si>
  <si>
    <t>Band high f_high [Hz]</t>
  </si>
  <si>
    <t>Computed</t>
  </si>
  <si>
    <t>Lookup sum(c_i^2) from N</t>
  </si>
  <si>
    <t>weight_sq_sum = output_variance / sensor_variance</t>
  </si>
  <si>
    <t>Required sensor RMS [pT]</t>
  </si>
  <si>
    <t>Bandwidth Delta_f [Hz]</t>
  </si>
  <si>
    <t>Flat sensor ASD for same RMS [pT/sqrt(Hz)]</t>
  </si>
  <si>
    <t>RMS estimate [pT]</t>
  </si>
  <si>
    <t>Assume PSD(f) = K/f</t>
  </si>
  <si>
    <t>K [pT^2]</t>
  </si>
  <si>
    <t>Sensor ASD at arithmetic band center [pT/sqrt(Hz)]</t>
  </si>
  <si>
    <t>Sensor ASD at geometric band center [pT/sqrt(Hz)]</t>
  </si>
  <si>
    <t>Arithmetic center frequency f_c,arith [Hz]</t>
  </si>
  <si>
    <t>Geometric center frequency f_c,geom [Hz]</t>
  </si>
  <si>
    <t>Characteristic frequency f_char [Hz] where ASD(f_char)*sqrt(BW)=required sensor RMS</t>
  </si>
  <si>
    <t>Sensor ASD at characteristic frequency [pT/sqrt(Hz)]</t>
  </si>
  <si>
    <t>Notes:</t>
  </si>
  <si>
    <t>- N lookup table is precomputed using solar_wind_functions.central_difference_coefficients.</t>
  </si>
  <si>
    <t>- For N not in lookup, add rows in columns E:F (or set B12 manually).</t>
  </si>
  <si>
    <t>- Band center frequencies are listed below each center-ASD pair.</t>
  </si>
  <si>
    <t>ratio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</si>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</sst>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E+00"/>
    <numFmt numFmtId="165" formatCode="0.000"/>
    <numFmt numFmtId="166" formatCode="0.0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AF2FF"/>
      </patternFill>
    </fill>
    <fill>
      <patternFill patternType="solid">
        <fgColor rgb="FFF6F6F6"/>
      </patternFill>
    </fill>
    <fill>
      <patternFill patternType="solid">
        <fgColor rgb="FFF6F6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0" fillId="2" borderId="0" xfId="0" applyFill="1"/>
    <xf numFmtId="164" fontId="0" fillId="2" borderId="0" xfId="0" applyNumberFormat="1" applyFill="1"/>
    <xf numFmtId="0" fontId="0" fillId="0" borderId="0" xfId="0" applyAlignment="1">
      <alignment wrapText="1"/>
    </xf>
    <xf numFmtId="165" fontId="0" fillId="3" borderId="0" xfId="0" applyNumberFormat="1" applyFill="1"/>
    <xf numFmtId="165" fontId="0" fillId="0" borderId="0" xfId="0" applyNumberFormat="1"/>
    <xf numFmtId="165" fontId="0" fillId="4" borderId="0" xfId="0" applyNumberFormat="1" applyFill="1"/>
    <xf numFmtId="1" fontId="3" fillId="4" borderId="0" xfId="0" applyNumberFormat="1" applyFont="1" applyFill="1"/>
    <xf numFmtId="1" fontId="0" fillId="4" borderId="0" xfId="0" applyNumberFormat="1" applyFill="1"/>
    <xf numFmtId="166" fontId="0" fillId="3" borderId="0" xfId="0" applyNumberFormat="1" applyFill="1"/>
    <xf numFmtId="1" fontId="0" fillId="3" borderId="0" xfId="0" applyNumberFormat="1" applyFill="1"/>
    <xf numFmtId="166" fontId="3" fillId="3" borderId="0" xfId="0" applyNumberFormat="1" applyFont="1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workbookViewId="0">
      <pane ySplit="3" topLeftCell="A4" activePane="bottomLeft" state="frozen"/>
      <selection pane="bottomLeft" activeCell="A18" sqref="A18"/>
    </sheetView>
  </sheetViews>
  <sheetFormatPr defaultRowHeight="14.4" x14ac:dyDescent="0.3"/>
  <cols>
    <col min="1" max="1" width="80.6640625" customWidth="1"/>
    <col min="2" max="2" width="28" customWidth="1"/>
    <col min="5" max="5" width="18.109375" customWidth="1"/>
    <col min="6" max="6" width="18" customWidth="1"/>
  </cols>
  <sheetData>
    <row r="1" spans="1:6" ht="18" customHeight="1" x14ac:dyDescent="0.35">
      <c r="A1" s="13" t="s">
        <v>0</v>
      </c>
      <c r="B1" s="14"/>
      <c r="C1" s="14"/>
      <c r="D1" s="14"/>
    </row>
    <row r="3" spans="1:6" x14ac:dyDescent="0.3">
      <c r="A3" s="1" t="s">
        <v>1</v>
      </c>
      <c r="E3" s="1" t="s">
        <v>2</v>
      </c>
    </row>
    <row r="4" spans="1:6" x14ac:dyDescent="0.3">
      <c r="A4" t="s">
        <v>3</v>
      </c>
      <c r="B4" s="2">
        <v>10</v>
      </c>
      <c r="E4" s="1" t="s">
        <v>4</v>
      </c>
      <c r="F4" s="1" t="s">
        <v>5</v>
      </c>
    </row>
    <row r="5" spans="1:6" x14ac:dyDescent="0.3">
      <c r="A5" t="s">
        <v>6</v>
      </c>
      <c r="B5" s="2">
        <v>2</v>
      </c>
      <c r="E5">
        <v>1</v>
      </c>
      <c r="F5">
        <v>1</v>
      </c>
    </row>
    <row r="6" spans="1:6" x14ac:dyDescent="0.3">
      <c r="A6" t="s">
        <v>7</v>
      </c>
      <c r="B6" s="2" t="s">
        <v>8</v>
      </c>
      <c r="E6">
        <v>2</v>
      </c>
      <c r="F6">
        <v>2</v>
      </c>
    </row>
    <row r="7" spans="1:6" x14ac:dyDescent="0.3">
      <c r="A7" t="s">
        <v>9</v>
      </c>
      <c r="B7" s="2">
        <v>1</v>
      </c>
      <c r="E7">
        <v>3</v>
      </c>
      <c r="F7">
        <v>2</v>
      </c>
    </row>
    <row r="8" spans="1:6" x14ac:dyDescent="0.3">
      <c r="A8" t="s">
        <v>10</v>
      </c>
      <c r="B8" s="3">
        <f>1/3600</f>
        <v>2.7777777777777778E-4</v>
      </c>
      <c r="E8">
        <v>5</v>
      </c>
      <c r="F8">
        <v>14.444444444444439</v>
      </c>
    </row>
    <row r="9" spans="1:6" x14ac:dyDescent="0.3">
      <c r="A9" t="s">
        <v>11</v>
      </c>
      <c r="B9" s="3">
        <f>1/114.483</f>
        <v>8.7349213420333145E-3</v>
      </c>
      <c r="E9">
        <v>7</v>
      </c>
      <c r="F9">
        <v>42.139999999999993</v>
      </c>
    </row>
    <row r="10" spans="1:6" x14ac:dyDescent="0.3">
      <c r="E10">
        <v>9</v>
      </c>
      <c r="F10">
        <v>87.227392290249398</v>
      </c>
    </row>
    <row r="11" spans="1:6" x14ac:dyDescent="0.3">
      <c r="A11" s="1" t="s">
        <v>12</v>
      </c>
      <c r="E11">
        <v>11</v>
      </c>
      <c r="F11">
        <v>150.95518392542391</v>
      </c>
    </row>
    <row r="12" spans="1:6" x14ac:dyDescent="0.3">
      <c r="A12" t="s">
        <v>13</v>
      </c>
      <c r="B12" s="10">
        <f>IFERROR(_xlfn.SINGLE(_xlfn.XLOOKUP(B5,$E$5:$E$29,$F$5:$F$29)),NA())</f>
        <v>2</v>
      </c>
    </row>
    <row r="13" spans="1:6" x14ac:dyDescent="0.3">
      <c r="A13" t="s">
        <v>14</v>
      </c>
      <c r="B13" s="5">
        <f>IF(B6="gradient",B12/(B4^2),B12)</f>
        <v>0.02</v>
      </c>
    </row>
    <row r="14" spans="1:6" x14ac:dyDescent="0.3">
      <c r="A14" t="s">
        <v>15</v>
      </c>
      <c r="B14" s="12">
        <f>B7/SQRT(B13)</f>
        <v>7.0710678118654755</v>
      </c>
    </row>
    <row r="15" spans="1:6" x14ac:dyDescent="0.3">
      <c r="A15" t="s">
        <v>16</v>
      </c>
      <c r="B15" s="5">
        <f>B9-B8</f>
        <v>8.4571435642555367E-3</v>
      </c>
    </row>
    <row r="16" spans="1:6" x14ac:dyDescent="0.3">
      <c r="A16" t="s">
        <v>17</v>
      </c>
      <c r="B16" s="11">
        <f>B14/SQRT(B15)</f>
        <v>76.890582439195114</v>
      </c>
      <c r="E16" t="s">
        <v>18</v>
      </c>
      <c r="F16">
        <f>B16*SQRT($B$15)</f>
        <v>7.0710678118654755</v>
      </c>
    </row>
    <row r="17" spans="1:9" x14ac:dyDescent="0.3">
      <c r="B17" s="11"/>
    </row>
    <row r="18" spans="1:9" x14ac:dyDescent="0.3">
      <c r="B18" s="6"/>
    </row>
    <row r="19" spans="1:9" x14ac:dyDescent="0.3">
      <c r="A19" s="1" t="s">
        <v>19</v>
      </c>
      <c r="B19" s="6"/>
    </row>
    <row r="20" spans="1:9" x14ac:dyDescent="0.3">
      <c r="A20" t="s">
        <v>20</v>
      </c>
      <c r="B20" s="11">
        <f>B14^2/LN(B9/B8)</f>
        <v>14.500054993115885</v>
      </c>
    </row>
    <row r="21" spans="1:9" x14ac:dyDescent="0.3">
      <c r="B21" s="11"/>
    </row>
    <row r="22" spans="1:9" x14ac:dyDescent="0.3">
      <c r="A22" t="s">
        <v>21</v>
      </c>
      <c r="B22" s="9">
        <f>SQRT(B20/((B8+B9)/2))</f>
        <v>56.724723300480704</v>
      </c>
      <c r="E22" t="s">
        <v>18</v>
      </c>
      <c r="F22">
        <f>B22*SQRT($B$15)</f>
        <v>5.2165603685496462</v>
      </c>
      <c r="H22" t="s">
        <v>31</v>
      </c>
      <c r="I22">
        <f>F22/$B$14</f>
        <v>0.73773304221409008</v>
      </c>
    </row>
    <row r="23" spans="1:9" x14ac:dyDescent="0.3">
      <c r="A23" t="s">
        <v>23</v>
      </c>
      <c r="B23" s="7">
        <f>(B8+B9)/2</f>
        <v>4.5063495599055462E-3</v>
      </c>
    </row>
    <row r="24" spans="1:9" x14ac:dyDescent="0.3">
      <c r="B24" s="9"/>
    </row>
    <row r="25" spans="1:9" x14ac:dyDescent="0.3">
      <c r="A25" t="s">
        <v>22</v>
      </c>
      <c r="B25" s="8">
        <f>SQRT(B20/SQRT(B8*B9))</f>
        <v>96.481867315635242</v>
      </c>
      <c r="E25" t="s">
        <v>18</v>
      </c>
      <c r="F25">
        <f>B25*SQRT($B$15)</f>
        <v>8.8727358378871646</v>
      </c>
      <c r="H25" t="s">
        <v>31</v>
      </c>
      <c r="I25">
        <f>F25/$B$14</f>
        <v>1.2547943357293836</v>
      </c>
    </row>
    <row r="26" spans="1:9" x14ac:dyDescent="0.3">
      <c r="A26" t="s">
        <v>24</v>
      </c>
      <c r="B26" s="7">
        <f>SQRT(B8*B9)</f>
        <v>1.5576800183136775E-3</v>
      </c>
    </row>
    <row r="27" spans="1:9" x14ac:dyDescent="0.3">
      <c r="B27" s="7"/>
    </row>
    <row r="28" spans="1:9" x14ac:dyDescent="0.3">
      <c r="A28" t="s">
        <v>26</v>
      </c>
      <c r="B28" s="8">
        <f>SQRT(B20/B29)</f>
        <v>76.890582439195114</v>
      </c>
      <c r="E28" t="s">
        <v>18</v>
      </c>
      <c r="F28">
        <f>B28*SQRT($B$15)</f>
        <v>7.0710678118654755</v>
      </c>
      <c r="G28" t="s">
        <v>32</v>
      </c>
      <c r="H28" t="s">
        <v>31</v>
      </c>
      <c r="I28">
        <f>F28/$B$14</f>
        <v>1</v>
      </c>
    </row>
    <row r="29" spans="1:9" x14ac:dyDescent="0.3">
      <c r="A29" t="s">
        <v>25</v>
      </c>
      <c r="B29" s="7">
        <f>B20*B15/(B14^2)</f>
        <v>2.4525809353276272E-3</v>
      </c>
      <c r="E29" t="s">
        <v>18</v>
      </c>
    </row>
    <row r="30" spans="1:9" x14ac:dyDescent="0.3">
      <c r="B30" s="8"/>
    </row>
    <row r="31" spans="1:9" x14ac:dyDescent="0.3">
      <c r="A31" s="4" t="s">
        <v>27</v>
      </c>
    </row>
    <row r="32" spans="1:9" ht="28.8" customHeight="1" x14ac:dyDescent="0.3">
      <c r="A32" s="4" t="s">
        <v>28</v>
      </c>
    </row>
    <row r="33" spans="1:1" x14ac:dyDescent="0.3">
      <c r="A33" s="4" t="s">
        <v>29</v>
      </c>
    </row>
    <row r="34" spans="1:1" x14ac:dyDescent="0.3">
      <c r="A34" s="4" t="s">
        <v>30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Lindeman, Mark A (US 365H)</cp:lastModifiedBy>
  <dcterms:created xsi:type="dcterms:W3CDTF">2026-02-10T23:36:22Z</dcterms:created>
  <dcterms:modified xsi:type="dcterms:W3CDTF">2026-02-11T00:11:14Z</dcterms:modified>
</cp:coreProperties>
</file>